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Cadd Mentor\Student_Class_Code\Dhruv Python Classes\Dhruv Excel Sheets\"/>
    </mc:Choice>
  </mc:AlternateContent>
  <xr:revisionPtr revIDLastSave="0" documentId="13_ncr:1_{D09DECAB-9AE1-4E86-AF17-0D95205E59FB}" xr6:coauthVersionLast="36" xr6:coauthVersionMax="36" xr10:uidLastSave="{00000000-0000-0000-0000-000000000000}"/>
  <bookViews>
    <workbookView xWindow="0" yWindow="0" windowWidth="22260" windowHeight="12648" activeTab="4" xr2:uid="{00000000-000D-0000-FFFF-FFFF00000000}"/>
  </bookViews>
  <sheets>
    <sheet name="Practice Date Formule" sheetId="1" r:id="rId1"/>
    <sheet name="Sheet1" sheetId="3" r:id="rId2"/>
    <sheet name="Some Advance Maths" sheetId="2" r:id="rId3"/>
    <sheet name="Sheet2" sheetId="4" r:id="rId4"/>
    <sheet name="Sheet3" sheetId="5" r:id="rId5"/>
  </sheet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2" l="1"/>
  <c r="S12" i="2" l="1"/>
  <c r="S10" i="2"/>
  <c r="B5" i="1" l="1"/>
  <c r="B2" i="1"/>
  <c r="D2" i="1" s="1"/>
  <c r="A2" i="1"/>
  <c r="I2" i="1" s="1"/>
  <c r="I4" i="1" l="1"/>
  <c r="G2" i="1"/>
  <c r="H2" i="1"/>
  <c r="F2" i="1"/>
  <c r="E2" i="1"/>
  <c r="C2" i="1"/>
</calcChain>
</file>

<file path=xl/sharedStrings.xml><?xml version="1.0" encoding="utf-8"?>
<sst xmlns="http://schemas.openxmlformats.org/spreadsheetml/2006/main" count="308" uniqueCount="66">
  <si>
    <t>Today</t>
  </si>
  <si>
    <t>Now</t>
  </si>
  <si>
    <t>Year</t>
  </si>
  <si>
    <t>Month</t>
  </si>
  <si>
    <t>Day</t>
  </si>
  <si>
    <t>Hours</t>
  </si>
  <si>
    <t>Mins</t>
  </si>
  <si>
    <t>Seconds</t>
  </si>
  <si>
    <t>Date+5</t>
  </si>
  <si>
    <t>Months+2</t>
  </si>
  <si>
    <t>Years+6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</si>
  <si>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</si>
  <si>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</si>
  <si>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</si>
  <si>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</si>
  <si>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</si>
  <si>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</si>
  <si>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</si>
  <si>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</si>
  <si>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</si>
  <si>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</si>
  <si>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Timothy</t>
  </si>
  <si>
    <t>David</t>
  </si>
  <si>
    <t>Cell Phone</t>
  </si>
  <si>
    <t>NET BANKING</t>
  </si>
  <si>
    <t>West</t>
  </si>
  <si>
    <t>Stephen</t>
  </si>
  <si>
    <t>East</t>
  </si>
  <si>
    <t>Martha</t>
  </si>
  <si>
    <t>Diana</t>
  </si>
  <si>
    <t>CASH</t>
  </si>
  <si>
    <t>Douglas</t>
  </si>
  <si>
    <t>Karen</t>
  </si>
  <si>
    <t>DEBIT CARD</t>
  </si>
  <si>
    <t>Alexander</t>
  </si>
  <si>
    <t>Hermann</t>
  </si>
  <si>
    <t>Shelli</t>
  </si>
  <si>
    <t>Desk</t>
  </si>
  <si>
    <t>John</t>
  </si>
  <si>
    <t>Home Theater</t>
  </si>
  <si>
    <t>Sigal</t>
  </si>
  <si>
    <t>Luis</t>
  </si>
  <si>
    <t>Steven</t>
  </si>
  <si>
    <t>UPI</t>
  </si>
  <si>
    <t>Michael</t>
  </si>
  <si>
    <t>Television</t>
  </si>
  <si>
    <t>Video Games</t>
  </si>
  <si>
    <t>Row Labels</t>
  </si>
  <si>
    <t>Grand Total</t>
  </si>
  <si>
    <t>Sum of Sale_amt</t>
  </si>
  <si>
    <t>Sum of Units</t>
  </si>
  <si>
    <t>Name Std</t>
  </si>
  <si>
    <t>Maths</t>
  </si>
  <si>
    <t>Physics</t>
  </si>
  <si>
    <t>Chemistry</t>
  </si>
  <si>
    <t>Susheel</t>
  </si>
  <si>
    <t>Dhruv</t>
  </si>
  <si>
    <t>Peter</t>
  </si>
  <si>
    <t>Married</t>
  </si>
  <si>
    <t>yes</t>
  </si>
  <si>
    <t>no</t>
  </si>
  <si>
    <t>not say</t>
  </si>
  <si>
    <t>Sales Man</t>
  </si>
  <si>
    <t>Sales Amt</t>
  </si>
  <si>
    <t>Id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</si>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</sst>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14" fontId="0" fillId="0" borderId="0" xfId="0" applyNumberFormat="1"/>
    <xf numFmtId="22" fontId="0" fillId="0" borderId="0" xfId="0" applyNumberFormat="1"/>
    <xf numFmtId="0" fontId="0" fillId="3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/>
    <xf numFmtId="0" fontId="0" fillId="5" borderId="0" xfId="0" applyFill="1"/>
  </cellXfs>
  <cellStyles count="3">
    <cellStyle name="Comma 2" xfId="2" xr:uid="{8E94604C-1601-4341-B1AB-C1477B696093}"/>
    <cellStyle name="Normal" xfId="0" builtinId="0"/>
    <cellStyle name="Normal 2" xfId="1" xr:uid="{33EE3055-F96F-42A2-BC68-7FC7D5BD15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All%20Practice%20Nex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3.756458564814" createdVersion="6" refreshedVersion="6" minRefreshableVersion="3" recordCount="43" xr:uid="{D4C2B2DB-484C-49BE-B9FC-A0FD530A7162}">
  <cacheSource type="worksheet">
    <worksheetSource ref="B1:J44" sheet="Some Advance Maths" r:id="rId2"/>
  </cacheSource>
  <cacheFields count="9">
    <cacheField name="OrderDate" numFmtId="14">
      <sharedItems containsSemiMixedTypes="0" containsNonDate="0" containsDate="1" containsString="0" minDate="2018-01-06T00:00:00" maxDate="2019-12-22T00:00:00" count="43">
        <d v="2018-01-06T00:00:00"/>
        <d v="2018-01-23T00:00:00"/>
        <d v="2018-02-09T00:00:00"/>
        <d v="2018-02-26T00:00:00"/>
        <d v="2018-03-15T00:00:00"/>
        <d v="2018-04-01T00:00:00"/>
        <d v="2018-04-18T00:00:00"/>
        <d v="2018-05-05T00:00:00"/>
        <d v="2018-05-22T00:00:00"/>
        <d v="2018-06-08T00:00:00"/>
        <d v="2018-06-25T00:00:00"/>
        <d v="2018-07-12T00:00:00"/>
        <d v="2018-07-29T00:00:00"/>
        <d v="2018-08-15T00:00:00"/>
        <d v="2018-09-01T00:00:00"/>
        <d v="2018-09-18T00:00:00"/>
        <d v="2018-10-05T00:00:00"/>
        <d v="2018-10-22T00:00:00"/>
        <d v="2018-11-08T00:00:00"/>
        <d v="2018-11-25T00:00:00"/>
        <d v="2018-12-12T00:00:00"/>
        <d v="2018-12-29T00:00:00"/>
        <d v="2019-01-15T00:00:00"/>
        <d v="2019-02-01T00:00:00"/>
        <d v="2019-02-18T00:00:00"/>
        <d v="2019-03-07T00:00:00"/>
        <d v="2019-03-24T00:00:00"/>
        <d v="2019-04-10T00:00:00"/>
        <d v="2019-04-27T00:00:00"/>
        <d v="2019-05-14T00:00:00"/>
        <d v="2019-05-31T00:00:00"/>
        <d v="2019-06-17T00:00:00"/>
        <d v="2019-07-04T00:00:00"/>
        <d v="2019-07-21T00:00:00"/>
        <d v="2019-08-07T00:00:00"/>
        <d v="2019-08-24T00:00:00"/>
        <d v="2019-09-10T00:00:00"/>
        <d v="2019-09-27T00:00:00"/>
        <d v="2019-10-14T00:00:00"/>
        <d v="2019-10-31T00:00:00"/>
        <d v="2019-11-17T00:00:00"/>
        <d v="2019-12-04T00:00:00"/>
        <d v="2019-12-21T00:00:00"/>
      </sharedItems>
    </cacheField>
    <cacheField name="Region" numFmtId="0">
      <sharedItems count="3">
        <s v="East"/>
        <s v="Central"/>
        <s v="West"/>
      </sharedItems>
    </cacheField>
    <cacheField name="Manager" numFmtId="0">
      <sharedItems/>
    </cacheField>
    <cacheField name="SalesMan" numFmtId="0">
      <sharedItems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minValue="250" maxValue="113810"/>
    </cacheField>
    <cacheField name="Payment Type" numFmtId="0">
      <sharedItems/>
    </cacheField>
  </cacheFields>
  <extLst>
    <ext xmlns:x14="http://schemas.microsoft.com/office/spreadsheetml/2009/9/main" uri="{725AE2AE-9491-48be-B2B4-4EB974FC3084}">
      <x14:pivotCacheDefinition pivotCacheId="20617288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x v="0"/>
    <s v="Martha"/>
    <s v="Alexander"/>
    <s v="Television"/>
    <n v="95"/>
    <n v="1198"/>
    <n v="113810"/>
    <s v="UPI"/>
  </r>
  <r>
    <x v="1"/>
    <x v="1"/>
    <s v="Hermann"/>
    <s v="Shelli"/>
    <s v="Home Theater"/>
    <n v="50"/>
    <n v="500"/>
    <n v="25000"/>
    <s v="CASH"/>
  </r>
  <r>
    <x v="2"/>
    <x v="1"/>
    <s v="Hermann"/>
    <s v="Luis"/>
    <s v="Television"/>
    <n v="36"/>
    <n v="1198"/>
    <n v="43128"/>
    <s v="DEBIT CARD"/>
  </r>
  <r>
    <x v="3"/>
    <x v="1"/>
    <s v="Timothy"/>
    <s v="David"/>
    <s v="Cell Phone"/>
    <n v="27"/>
    <n v="225"/>
    <n v="6075"/>
    <s v="NET BANKING"/>
  </r>
  <r>
    <x v="4"/>
    <x v="2"/>
    <s v="Timothy"/>
    <s v="Stephen"/>
    <s v="Television"/>
    <n v="56"/>
    <n v="1198"/>
    <n v="67088"/>
    <s v="UPI"/>
  </r>
  <r>
    <x v="5"/>
    <x v="0"/>
    <s v="Martha"/>
    <s v="Alexander"/>
    <s v="Home Theater"/>
    <n v="60"/>
    <n v="500"/>
    <n v="30000"/>
    <s v="CASH"/>
  </r>
  <r>
    <x v="6"/>
    <x v="1"/>
    <s v="Martha"/>
    <s v="Steven"/>
    <s v="Television"/>
    <n v="75"/>
    <n v="1198"/>
    <n v="89850"/>
    <s v="DEBIT CARD"/>
  </r>
  <r>
    <x v="7"/>
    <x v="1"/>
    <s v="Hermann"/>
    <s v="Luis"/>
    <s v="Television"/>
    <n v="90"/>
    <n v="1198"/>
    <n v="107820"/>
    <s v="UPI"/>
  </r>
  <r>
    <x v="8"/>
    <x v="2"/>
    <s v="Douglas"/>
    <s v="Michael"/>
    <s v="Television"/>
    <n v="32"/>
    <n v="1198"/>
    <n v="38336"/>
    <s v="CASH"/>
  </r>
  <r>
    <x v="9"/>
    <x v="0"/>
    <s v="Martha"/>
    <s v="Alexander"/>
    <s v="Home Theater"/>
    <n v="60"/>
    <n v="500"/>
    <n v="30000"/>
    <s v="UPI"/>
  </r>
  <r>
    <x v="10"/>
    <x v="1"/>
    <s v="Hermann"/>
    <s v="Sigal"/>
    <s v="Television"/>
    <n v="90"/>
    <n v="1198"/>
    <n v="107820"/>
    <s v="CASH"/>
  </r>
  <r>
    <x v="11"/>
    <x v="0"/>
    <s v="Martha"/>
    <s v="Diana"/>
    <s v="Home Theater"/>
    <n v="29"/>
    <n v="500"/>
    <n v="14500"/>
    <s v="DEBIT CARD"/>
  </r>
  <r>
    <x v="12"/>
    <x v="0"/>
    <s v="Douglas"/>
    <s v="Karen"/>
    <s v="Home Theater"/>
    <n v="81"/>
    <n v="500"/>
    <n v="40500"/>
    <s v="NET BANKING"/>
  </r>
  <r>
    <x v="13"/>
    <x v="0"/>
    <s v="Martha"/>
    <s v="Alexander"/>
    <s v="Television"/>
    <n v="35"/>
    <n v="1198"/>
    <n v="41930"/>
    <s v="DEBIT CARD"/>
  </r>
  <r>
    <x v="14"/>
    <x v="1"/>
    <s v="Douglas"/>
    <s v="John"/>
    <s v="Desk"/>
    <n v="2"/>
    <n v="125"/>
    <n v="250"/>
    <s v="NET BANKING"/>
  </r>
  <r>
    <x v="15"/>
    <x v="0"/>
    <s v="Martha"/>
    <s v="Alexander"/>
    <s v="Video Games"/>
    <n v="16"/>
    <n v="58.5"/>
    <n v="936"/>
    <s v="UPI"/>
  </r>
  <r>
    <x v="16"/>
    <x v="1"/>
    <s v="Hermann"/>
    <s v="Sigal"/>
    <s v="Home Theater"/>
    <n v="28"/>
    <n v="500"/>
    <n v="14000"/>
    <s v="CASH"/>
  </r>
  <r>
    <x v="17"/>
    <x v="0"/>
    <s v="Martha"/>
    <s v="Alexander"/>
    <s v="Cell Phone"/>
    <n v="64"/>
    <n v="225"/>
    <n v="14400"/>
    <s v="NET BANKING"/>
  </r>
  <r>
    <x v="18"/>
    <x v="0"/>
    <s v="Douglas"/>
    <s v="Karen"/>
    <s v="Cell Phone"/>
    <n v="15"/>
    <n v="225"/>
    <n v="3375"/>
    <s v="DEBIT CARD"/>
  </r>
  <r>
    <x v="19"/>
    <x v="1"/>
    <s v="Hermann"/>
    <s v="Shelli"/>
    <s v="Video Games"/>
    <n v="96"/>
    <n v="58.5"/>
    <n v="5616"/>
    <s v="NET BANKING"/>
  </r>
  <r>
    <x v="20"/>
    <x v="1"/>
    <s v="Douglas"/>
    <s v="John"/>
    <s v="Television"/>
    <n v="67"/>
    <n v="1198"/>
    <n v="80266"/>
    <s v="DEBIT CARD"/>
  </r>
  <r>
    <x v="21"/>
    <x v="0"/>
    <s v="Douglas"/>
    <s v="Karen"/>
    <s v="Video Games"/>
    <n v="74"/>
    <n v="58.5"/>
    <n v="4329"/>
    <s v="DEBIT CARD"/>
  </r>
  <r>
    <x v="22"/>
    <x v="1"/>
    <s v="Timothy"/>
    <s v="David"/>
    <s v="Home Theater"/>
    <n v="46"/>
    <n v="500"/>
    <n v="23000"/>
    <s v="NET BANKING"/>
  </r>
  <r>
    <x v="23"/>
    <x v="1"/>
    <s v="Douglas"/>
    <s v="John"/>
    <s v="Home Theater"/>
    <n v="87"/>
    <n v="500"/>
    <n v="43500"/>
    <s v="UPI"/>
  </r>
  <r>
    <x v="24"/>
    <x v="0"/>
    <s v="Martha"/>
    <s v="Alexander"/>
    <s v="Home Theater"/>
    <n v="4"/>
    <n v="500"/>
    <n v="2000"/>
    <s v="CASH"/>
  </r>
  <r>
    <x v="25"/>
    <x v="2"/>
    <s v="Timothy"/>
    <s v="Stephen"/>
    <s v="Home Theater"/>
    <n v="7"/>
    <n v="500"/>
    <n v="3500"/>
    <s v="DEBIT CARD"/>
  </r>
  <r>
    <x v="26"/>
    <x v="1"/>
    <s v="Hermann"/>
    <s v="Luis"/>
    <s v="Video Games"/>
    <n v="50"/>
    <n v="58.5"/>
    <n v="2925"/>
    <s v="NET BANKING"/>
  </r>
  <r>
    <x v="27"/>
    <x v="1"/>
    <s v="Martha"/>
    <s v="Steven"/>
    <s v="Television"/>
    <n v="66"/>
    <n v="1198"/>
    <n v="79068"/>
    <s v="DEBIT CARD"/>
  </r>
  <r>
    <x v="28"/>
    <x v="0"/>
    <s v="Martha"/>
    <s v="Diana"/>
    <s v="Cell Phone"/>
    <n v="96"/>
    <n v="225"/>
    <n v="21600"/>
    <s v="CASH"/>
  </r>
  <r>
    <x v="29"/>
    <x v="1"/>
    <s v="Timothy"/>
    <s v="David"/>
    <s v="Television"/>
    <n v="53"/>
    <n v="1198"/>
    <n v="63494"/>
    <s v="UPI"/>
  </r>
  <r>
    <x v="30"/>
    <x v="1"/>
    <s v="Timothy"/>
    <s v="David"/>
    <s v="Home Theater"/>
    <n v="80"/>
    <n v="500"/>
    <n v="40000"/>
    <s v="CASH"/>
  </r>
  <r>
    <x v="31"/>
    <x v="1"/>
    <s v="Hermann"/>
    <s v="Shelli"/>
    <s v="Desk"/>
    <n v="5"/>
    <n v="125"/>
    <n v="625"/>
    <s v="DEBIT CARD"/>
  </r>
  <r>
    <x v="32"/>
    <x v="0"/>
    <s v="Martha"/>
    <s v="Alexander"/>
    <s v="Video Games"/>
    <n v="62"/>
    <n v="58.5"/>
    <n v="3627"/>
    <s v="CASH"/>
  </r>
  <r>
    <x v="33"/>
    <x v="1"/>
    <s v="Hermann"/>
    <s v="Sigal"/>
    <s v="Video Games"/>
    <n v="55"/>
    <n v="58.5"/>
    <n v="3217.5"/>
    <s v="DEBIT CARD"/>
  </r>
  <r>
    <x v="34"/>
    <x v="1"/>
    <s v="Hermann"/>
    <s v="Shelli"/>
    <s v="Video Games"/>
    <n v="42"/>
    <n v="58.5"/>
    <n v="2457"/>
    <s v="NET BANKING"/>
  </r>
  <r>
    <x v="35"/>
    <x v="2"/>
    <s v="Timothy"/>
    <s v="Stephen"/>
    <s v="Desk"/>
    <n v="3"/>
    <n v="125"/>
    <n v="375"/>
    <s v="CASH"/>
  </r>
  <r>
    <x v="36"/>
    <x v="1"/>
    <s v="Timothy"/>
    <s v="David"/>
    <s v="Television"/>
    <n v="7"/>
    <n v="1198"/>
    <n v="8386"/>
    <s v="DEBIT CARD"/>
  </r>
  <r>
    <x v="37"/>
    <x v="2"/>
    <s v="Timothy"/>
    <s v="Stephen"/>
    <s v="Cell Phone"/>
    <n v="76"/>
    <n v="225"/>
    <n v="17100"/>
    <s v="NET BANKING"/>
  </r>
  <r>
    <x v="38"/>
    <x v="2"/>
    <s v="Douglas"/>
    <s v="Michael"/>
    <s v="Home Theater"/>
    <n v="57"/>
    <n v="500"/>
    <n v="28500"/>
    <s v="CASH"/>
  </r>
  <r>
    <x v="39"/>
    <x v="1"/>
    <s v="Martha"/>
    <s v="Steven"/>
    <s v="Television"/>
    <n v="14"/>
    <n v="1198"/>
    <n v="16772"/>
    <s v="DEBIT CARD"/>
  </r>
  <r>
    <x v="40"/>
    <x v="1"/>
    <s v="Hermann"/>
    <s v="Luis"/>
    <s v="Home Theater"/>
    <n v="11"/>
    <n v="500"/>
    <n v="5500"/>
    <s v="DEBIT CARD"/>
  </r>
  <r>
    <x v="41"/>
    <x v="1"/>
    <s v="Hermann"/>
    <s v="Luis"/>
    <s v="Home Theater"/>
    <n v="94"/>
    <n v="500"/>
    <n v="47000"/>
    <s v="CASH"/>
  </r>
  <r>
    <x v="42"/>
    <x v="1"/>
    <s v="Martha"/>
    <s v="Steven"/>
    <s v="Home Theater"/>
    <n v="28"/>
    <n v="500"/>
    <n v="14000"/>
    <s v="DEB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AEEFD-C8F7-4759-ACC5-DBCF80DC5D05}" name="PivotTable1" cacheId="9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1">
  <location ref="A3:C7" firstHeaderRow="0" firstDataRow="1" firstDataCol="1"/>
  <pivotFields count="9">
    <pivotField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Sum of Unit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6" name="OrderDate">
      <autoFilter ref="A1">
        <filterColumn colId="0">
          <customFilters and="1">
            <customFilter operator="greaterThanOrEqual" val="43101"/>
            <customFilter operator="lessThanOrEqual" val="438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zoomScale="115" zoomScaleNormal="115" workbookViewId="0">
      <selection activeCell="J10" sqref="J10"/>
    </sheetView>
  </sheetViews>
  <sheetFormatPr defaultRowHeight="14.4" x14ac:dyDescent="0.3"/>
  <cols>
    <col min="2" max="2" width="15.33203125" customWidth="1"/>
    <col min="9" max="9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f ca="1">TODAY()</f>
        <v>46043</v>
      </c>
      <c r="B2" s="3">
        <f ca="1">NOW()</f>
        <v>46043.770485763889</v>
      </c>
      <c r="C2">
        <f ca="1">YEAR(B2)</f>
        <v>2026</v>
      </c>
      <c r="D2">
        <f ca="1">MONTH(B2)</f>
        <v>1</v>
      </c>
      <c r="E2">
        <f ca="1">DAY(B2)</f>
        <v>21</v>
      </c>
      <c r="F2">
        <f ca="1">HOUR(B2)</f>
        <v>18</v>
      </c>
      <c r="G2">
        <f ca="1">MINUTE(B2)</f>
        <v>29</v>
      </c>
      <c r="H2">
        <f ca="1">SECOND(B2)</f>
        <v>30</v>
      </c>
      <c r="I2" s="3">
        <f ca="1">EDATE(A2,4)</f>
        <v>46163</v>
      </c>
    </row>
    <row r="4" spans="1:11" x14ac:dyDescent="0.3">
      <c r="I4" s="2">
        <f ca="1">EDATE(A2,3*12)</f>
        <v>47139</v>
      </c>
    </row>
    <row r="5" spans="1:11" x14ac:dyDescent="0.3">
      <c r="B5" s="2">
        <f>DATE(2022,4,23)</f>
        <v>44674</v>
      </c>
    </row>
    <row r="7" spans="1:11" x14ac:dyDescent="0.3">
      <c r="B7" s="2">
        <v>45282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B054-2136-435C-B18D-723C6193A131}">
  <dimension ref="A3:C7"/>
  <sheetViews>
    <sheetView zoomScale="160" zoomScaleNormal="160" workbookViewId="0">
      <selection activeCell="E9" sqref="E9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1.77734375" bestFit="1" customWidth="1"/>
    <col min="4" max="4" width="10.77734375" bestFit="1" customWidth="1"/>
  </cols>
  <sheetData>
    <row r="3" spans="1:3" x14ac:dyDescent="0.3">
      <c r="A3" s="5" t="s">
        <v>47</v>
      </c>
      <c r="B3" t="s">
        <v>49</v>
      </c>
      <c r="C3" t="s">
        <v>50</v>
      </c>
    </row>
    <row r="4" spans="1:3" x14ac:dyDescent="0.3">
      <c r="A4" s="6" t="s">
        <v>20</v>
      </c>
      <c r="B4" s="7">
        <v>829769.5</v>
      </c>
      <c r="C4" s="7">
        <v>1199</v>
      </c>
    </row>
    <row r="5" spans="1:3" x14ac:dyDescent="0.3">
      <c r="A5" s="6" t="s">
        <v>27</v>
      </c>
      <c r="B5" s="7">
        <v>321007</v>
      </c>
      <c r="C5" s="7">
        <v>691</v>
      </c>
    </row>
    <row r="6" spans="1:3" x14ac:dyDescent="0.3">
      <c r="A6" s="6" t="s">
        <v>25</v>
      </c>
      <c r="B6" s="7">
        <v>154899</v>
      </c>
      <c r="C6" s="7">
        <v>231</v>
      </c>
    </row>
    <row r="7" spans="1:3" x14ac:dyDescent="0.3">
      <c r="A7" s="6" t="s">
        <v>48</v>
      </c>
      <c r="B7" s="7">
        <v>1305675.5</v>
      </c>
      <c r="C7" s="7">
        <v>2121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A64F-D990-491A-8769-AE954C758407}">
  <sheetPr codeName="Sheet2"/>
  <dimension ref="A1:S44"/>
  <sheetViews>
    <sheetView zoomScale="115" zoomScaleNormal="115" workbookViewId="0">
      <selection activeCell="J12" sqref="J12"/>
    </sheetView>
  </sheetViews>
  <sheetFormatPr defaultRowHeight="14.4" x14ac:dyDescent="0.3"/>
  <cols>
    <col min="2" max="2" width="12.33203125" customWidth="1"/>
    <col min="3" max="3" width="9" customWidth="1"/>
    <col min="4" max="4" width="10.88671875" customWidth="1"/>
    <col min="5" max="5" width="11.33203125" customWidth="1"/>
    <col min="6" max="6" width="12.6640625" bestFit="1" customWidth="1"/>
    <col min="7" max="7" width="7.44140625" customWidth="1"/>
    <col min="8" max="8" width="13.21875" customWidth="1"/>
    <col min="9" max="9" width="11.109375" bestFit="1" customWidth="1"/>
    <col min="10" max="10" width="15.6640625" customWidth="1"/>
    <col min="11" max="11" width="7" bestFit="1" customWidth="1"/>
    <col min="12" max="12" width="7.77734375" customWidth="1"/>
    <col min="13" max="13" width="9.44140625" customWidth="1"/>
    <col min="14" max="14" width="10.44140625" customWidth="1"/>
    <col min="15" max="15" width="9.109375" customWidth="1"/>
    <col min="16" max="16" width="9.88671875" customWidth="1"/>
    <col min="19" max="19" width="14.33203125" customWidth="1"/>
  </cols>
  <sheetData>
    <row r="1" spans="1:19" x14ac:dyDescent="0.3">
      <c r="A1" s="8" t="s">
        <v>64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</row>
    <row r="2" spans="1:19" x14ac:dyDescent="0.3">
      <c r="A2">
        <v>101</v>
      </c>
      <c r="B2">
        <v>43106</v>
      </c>
      <c r="C2" t="s">
        <v>27</v>
      </c>
      <c r="D2" t="s">
        <v>28</v>
      </c>
      <c r="E2" t="s">
        <v>34</v>
      </c>
      <c r="F2" t="s">
        <v>45</v>
      </c>
      <c r="G2">
        <v>95</v>
      </c>
      <c r="H2">
        <v>1198</v>
      </c>
      <c r="I2">
        <v>113810</v>
      </c>
      <c r="J2" t="s">
        <v>43</v>
      </c>
    </row>
    <row r="3" spans="1:19" x14ac:dyDescent="0.3">
      <c r="A3">
        <v>102</v>
      </c>
      <c r="B3">
        <v>43123</v>
      </c>
      <c r="C3" t="s">
        <v>20</v>
      </c>
      <c r="D3" t="s">
        <v>35</v>
      </c>
      <c r="E3" t="s">
        <v>36</v>
      </c>
      <c r="F3" t="s">
        <v>39</v>
      </c>
      <c r="G3">
        <v>50</v>
      </c>
      <c r="H3">
        <v>500</v>
      </c>
      <c r="I3">
        <v>25000</v>
      </c>
      <c r="J3" t="s">
        <v>30</v>
      </c>
    </row>
    <row r="4" spans="1:19" x14ac:dyDescent="0.3">
      <c r="A4">
        <v>103</v>
      </c>
      <c r="B4">
        <v>43140</v>
      </c>
      <c r="C4" t="s">
        <v>20</v>
      </c>
      <c r="D4" t="s">
        <v>35</v>
      </c>
      <c r="E4" t="s">
        <v>41</v>
      </c>
      <c r="F4" t="s">
        <v>45</v>
      </c>
      <c r="G4">
        <v>36</v>
      </c>
      <c r="H4">
        <v>1198</v>
      </c>
      <c r="I4">
        <v>43128</v>
      </c>
      <c r="J4" t="s">
        <v>33</v>
      </c>
    </row>
    <row r="5" spans="1:19" x14ac:dyDescent="0.3">
      <c r="A5">
        <v>104</v>
      </c>
      <c r="B5">
        <v>43157</v>
      </c>
      <c r="C5" t="s">
        <v>20</v>
      </c>
      <c r="D5" t="s">
        <v>21</v>
      </c>
      <c r="E5" t="s">
        <v>22</v>
      </c>
      <c r="F5" t="s">
        <v>23</v>
      </c>
      <c r="G5">
        <v>27</v>
      </c>
      <c r="H5">
        <v>225</v>
      </c>
      <c r="I5">
        <v>6075</v>
      </c>
      <c r="J5" t="s">
        <v>24</v>
      </c>
    </row>
    <row r="6" spans="1:19" x14ac:dyDescent="0.3">
      <c r="A6">
        <v>105</v>
      </c>
      <c r="B6">
        <v>43174</v>
      </c>
      <c r="C6" t="s">
        <v>25</v>
      </c>
      <c r="D6" t="s">
        <v>21</v>
      </c>
      <c r="E6" t="s">
        <v>26</v>
      </c>
      <c r="F6" t="s">
        <v>45</v>
      </c>
      <c r="G6">
        <v>56</v>
      </c>
      <c r="H6">
        <v>1198</v>
      </c>
      <c r="I6">
        <v>67088</v>
      </c>
      <c r="J6" t="s">
        <v>43</v>
      </c>
    </row>
    <row r="7" spans="1:19" x14ac:dyDescent="0.3">
      <c r="A7">
        <v>106</v>
      </c>
      <c r="B7">
        <v>43191</v>
      </c>
      <c r="C7" t="s">
        <v>27</v>
      </c>
      <c r="D7" t="s">
        <v>28</v>
      </c>
      <c r="E7" t="s">
        <v>34</v>
      </c>
      <c r="F7" t="s">
        <v>39</v>
      </c>
      <c r="G7">
        <v>60</v>
      </c>
      <c r="H7">
        <v>500</v>
      </c>
      <c r="I7">
        <v>30000</v>
      </c>
      <c r="J7" t="s">
        <v>30</v>
      </c>
      <c r="M7" t="s">
        <v>62</v>
      </c>
      <c r="N7" t="s">
        <v>63</v>
      </c>
    </row>
    <row r="8" spans="1:19" x14ac:dyDescent="0.3">
      <c r="A8">
        <v>107</v>
      </c>
      <c r="B8">
        <v>43208</v>
      </c>
      <c r="C8" t="s">
        <v>20</v>
      </c>
      <c r="D8" t="s">
        <v>28</v>
      </c>
      <c r="E8" t="s">
        <v>42</v>
      </c>
      <c r="F8" t="s">
        <v>45</v>
      </c>
      <c r="G8">
        <v>75</v>
      </c>
      <c r="H8">
        <v>1198</v>
      </c>
      <c r="I8">
        <v>89850</v>
      </c>
      <c r="J8" t="s">
        <v>33</v>
      </c>
      <c r="M8" s="4">
        <v>106</v>
      </c>
      <c r="N8">
        <f>VLOOKUP(M8,A2:I16,9)</f>
        <v>30000</v>
      </c>
    </row>
    <row r="9" spans="1:19" x14ac:dyDescent="0.3">
      <c r="A9">
        <v>108</v>
      </c>
      <c r="B9">
        <v>43225</v>
      </c>
      <c r="C9" t="s">
        <v>20</v>
      </c>
      <c r="D9" t="s">
        <v>35</v>
      </c>
      <c r="E9" t="s">
        <v>41</v>
      </c>
      <c r="F9" t="s">
        <v>45</v>
      </c>
      <c r="G9">
        <v>90</v>
      </c>
      <c r="H9">
        <v>1198</v>
      </c>
      <c r="I9">
        <v>107820</v>
      </c>
      <c r="J9" t="s">
        <v>43</v>
      </c>
    </row>
    <row r="10" spans="1:19" x14ac:dyDescent="0.3">
      <c r="A10">
        <v>109</v>
      </c>
      <c r="B10">
        <v>43242</v>
      </c>
      <c r="C10" t="s">
        <v>25</v>
      </c>
      <c r="D10" t="s">
        <v>31</v>
      </c>
      <c r="E10" t="s">
        <v>44</v>
      </c>
      <c r="F10" t="s">
        <v>45</v>
      </c>
      <c r="G10">
        <v>32</v>
      </c>
      <c r="H10">
        <v>1198</v>
      </c>
      <c r="I10">
        <v>38336</v>
      </c>
      <c r="J10" t="s">
        <v>30</v>
      </c>
      <c r="N10" t="s">
        <v>65</v>
      </c>
      <c r="S10">
        <f>SUMIF('Some Advance Maths'!$C$2:$C$44,"Central",'Some Advance Maths'!$I$2:$I$44)</f>
        <v>829769.5</v>
      </c>
    </row>
    <row r="11" spans="1:19" x14ac:dyDescent="0.3">
      <c r="A11">
        <v>110</v>
      </c>
      <c r="B11">
        <v>43259</v>
      </c>
      <c r="C11" t="s">
        <v>27</v>
      </c>
      <c r="D11" t="s">
        <v>28</v>
      </c>
      <c r="E11" t="s">
        <v>34</v>
      </c>
      <c r="F11" t="s">
        <v>39</v>
      </c>
      <c r="G11">
        <v>60</v>
      </c>
      <c r="H11">
        <v>500</v>
      </c>
      <c r="I11">
        <v>30000</v>
      </c>
      <c r="J11" t="s">
        <v>43</v>
      </c>
    </row>
    <row r="12" spans="1:19" x14ac:dyDescent="0.3">
      <c r="A12">
        <v>111</v>
      </c>
      <c r="B12">
        <v>43276</v>
      </c>
      <c r="C12" t="s">
        <v>20</v>
      </c>
      <c r="D12" t="s">
        <v>35</v>
      </c>
      <c r="E12" t="s">
        <v>40</v>
      </c>
      <c r="F12" t="s">
        <v>45</v>
      </c>
      <c r="G12">
        <v>90</v>
      </c>
      <c r="H12">
        <v>1198</v>
      </c>
      <c r="I12">
        <v>107820</v>
      </c>
      <c r="J12" t="s">
        <v>30</v>
      </c>
      <c r="S12">
        <f>SUMIFS('Some Advance Maths'!$I$2:$I$44,'Some Advance Maths'!$C$2:$C$44,"Central",'Some Advance Maths'!$J$2:$J$44,"CASH")</f>
        <v>233820</v>
      </c>
    </row>
    <row r="13" spans="1:19" x14ac:dyDescent="0.3">
      <c r="A13">
        <v>112</v>
      </c>
      <c r="B13">
        <v>43293</v>
      </c>
      <c r="C13" t="s">
        <v>27</v>
      </c>
      <c r="D13" t="s">
        <v>28</v>
      </c>
      <c r="E13" t="s">
        <v>29</v>
      </c>
      <c r="F13" t="s">
        <v>39</v>
      </c>
      <c r="G13">
        <v>29</v>
      </c>
      <c r="H13">
        <v>500</v>
      </c>
      <c r="I13">
        <v>14500</v>
      </c>
      <c r="J13" t="s">
        <v>33</v>
      </c>
    </row>
    <row r="14" spans="1:19" x14ac:dyDescent="0.3">
      <c r="A14">
        <v>113</v>
      </c>
      <c r="B14">
        <v>43310</v>
      </c>
      <c r="C14" t="s">
        <v>27</v>
      </c>
      <c r="D14" t="s">
        <v>31</v>
      </c>
      <c r="E14" t="s">
        <v>32</v>
      </c>
      <c r="F14" t="s">
        <v>39</v>
      </c>
      <c r="G14">
        <v>81</v>
      </c>
      <c r="H14">
        <v>500</v>
      </c>
      <c r="I14">
        <v>40500</v>
      </c>
      <c r="J14" t="s">
        <v>24</v>
      </c>
    </row>
    <row r="15" spans="1:19" collapsed="1" x14ac:dyDescent="0.3">
      <c r="A15">
        <v>114</v>
      </c>
      <c r="B15">
        <v>43327</v>
      </c>
      <c r="C15" t="s">
        <v>27</v>
      </c>
      <c r="D15" t="s">
        <v>28</v>
      </c>
      <c r="E15" t="s">
        <v>34</v>
      </c>
      <c r="F15" t="s">
        <v>45</v>
      </c>
      <c r="G15">
        <v>35</v>
      </c>
      <c r="H15">
        <v>1198</v>
      </c>
      <c r="I15">
        <v>41930</v>
      </c>
      <c r="J15" t="s">
        <v>33</v>
      </c>
    </row>
    <row r="16" spans="1:19" x14ac:dyDescent="0.3">
      <c r="A16">
        <v>115</v>
      </c>
      <c r="B16">
        <v>43344</v>
      </c>
      <c r="C16" t="s">
        <v>20</v>
      </c>
      <c r="D16" t="s">
        <v>31</v>
      </c>
      <c r="E16" t="s">
        <v>38</v>
      </c>
      <c r="F16" t="s">
        <v>37</v>
      </c>
      <c r="G16">
        <v>2</v>
      </c>
      <c r="H16">
        <v>125</v>
      </c>
      <c r="I16">
        <v>250</v>
      </c>
      <c r="J16" t="s">
        <v>24</v>
      </c>
    </row>
    <row r="17" spans="1:10" x14ac:dyDescent="0.3">
      <c r="A17">
        <v>116</v>
      </c>
      <c r="B17">
        <v>43361</v>
      </c>
      <c r="C17" t="s">
        <v>27</v>
      </c>
      <c r="D17" t="s">
        <v>28</v>
      </c>
      <c r="E17" t="s">
        <v>34</v>
      </c>
      <c r="F17" t="s">
        <v>46</v>
      </c>
      <c r="G17">
        <v>16</v>
      </c>
      <c r="H17">
        <v>58.5</v>
      </c>
      <c r="I17">
        <v>936</v>
      </c>
      <c r="J17" t="s">
        <v>43</v>
      </c>
    </row>
    <row r="18" spans="1:10" x14ac:dyDescent="0.3">
      <c r="A18">
        <v>117</v>
      </c>
      <c r="B18">
        <v>43378</v>
      </c>
      <c r="C18" t="s">
        <v>20</v>
      </c>
      <c r="D18" t="s">
        <v>35</v>
      </c>
      <c r="E18" t="s">
        <v>40</v>
      </c>
      <c r="F18" t="s">
        <v>39</v>
      </c>
      <c r="G18">
        <v>28</v>
      </c>
      <c r="H18">
        <v>500</v>
      </c>
      <c r="I18">
        <v>14000</v>
      </c>
      <c r="J18" t="s">
        <v>30</v>
      </c>
    </row>
    <row r="19" spans="1:10" x14ac:dyDescent="0.3">
      <c r="A19">
        <v>118</v>
      </c>
      <c r="B19">
        <v>43395</v>
      </c>
      <c r="C19" t="s">
        <v>27</v>
      </c>
      <c r="D19" t="s">
        <v>28</v>
      </c>
      <c r="E19" t="s">
        <v>34</v>
      </c>
      <c r="F19" t="s">
        <v>23</v>
      </c>
      <c r="G19">
        <v>64</v>
      </c>
      <c r="H19">
        <v>225</v>
      </c>
      <c r="I19">
        <v>14400</v>
      </c>
      <c r="J19" t="s">
        <v>24</v>
      </c>
    </row>
    <row r="20" spans="1:10" x14ac:dyDescent="0.3">
      <c r="A20">
        <v>119</v>
      </c>
      <c r="B20">
        <v>43412</v>
      </c>
      <c r="C20" t="s">
        <v>27</v>
      </c>
      <c r="D20" t="s">
        <v>31</v>
      </c>
      <c r="E20" t="s">
        <v>32</v>
      </c>
      <c r="F20" t="s">
        <v>23</v>
      </c>
      <c r="G20">
        <v>15</v>
      </c>
      <c r="H20">
        <v>225</v>
      </c>
      <c r="I20">
        <v>3375</v>
      </c>
      <c r="J20" t="s">
        <v>33</v>
      </c>
    </row>
    <row r="21" spans="1:10" x14ac:dyDescent="0.3">
      <c r="A21">
        <v>120</v>
      </c>
      <c r="B21">
        <v>43429</v>
      </c>
      <c r="C21" t="s">
        <v>20</v>
      </c>
      <c r="D21" t="s">
        <v>35</v>
      </c>
      <c r="E21" t="s">
        <v>36</v>
      </c>
      <c r="F21" t="s">
        <v>46</v>
      </c>
      <c r="G21">
        <v>96</v>
      </c>
      <c r="H21">
        <v>58.5</v>
      </c>
      <c r="I21">
        <v>5616</v>
      </c>
      <c r="J21" t="s">
        <v>24</v>
      </c>
    </row>
    <row r="22" spans="1:10" x14ac:dyDescent="0.3">
      <c r="A22">
        <v>121</v>
      </c>
      <c r="B22">
        <v>43446</v>
      </c>
      <c r="C22" t="s">
        <v>20</v>
      </c>
      <c r="D22" t="s">
        <v>31</v>
      </c>
      <c r="E22" t="s">
        <v>38</v>
      </c>
      <c r="F22" t="s">
        <v>45</v>
      </c>
      <c r="G22">
        <v>67</v>
      </c>
      <c r="H22">
        <v>1198</v>
      </c>
      <c r="I22">
        <v>80266</v>
      </c>
      <c r="J22" t="s">
        <v>33</v>
      </c>
    </row>
    <row r="23" spans="1:10" x14ac:dyDescent="0.3">
      <c r="A23">
        <v>122</v>
      </c>
      <c r="B23">
        <v>43463</v>
      </c>
      <c r="C23" t="s">
        <v>27</v>
      </c>
      <c r="D23" t="s">
        <v>31</v>
      </c>
      <c r="E23" t="s">
        <v>32</v>
      </c>
      <c r="F23" t="s">
        <v>46</v>
      </c>
      <c r="G23">
        <v>74</v>
      </c>
      <c r="H23">
        <v>58.5</v>
      </c>
      <c r="I23">
        <v>4329</v>
      </c>
      <c r="J23" t="s">
        <v>33</v>
      </c>
    </row>
    <row r="24" spans="1:10" x14ac:dyDescent="0.3">
      <c r="A24">
        <v>123</v>
      </c>
      <c r="B24">
        <v>43480</v>
      </c>
      <c r="C24" t="s">
        <v>20</v>
      </c>
      <c r="D24" t="s">
        <v>21</v>
      </c>
      <c r="E24" t="s">
        <v>22</v>
      </c>
      <c r="F24" t="s">
        <v>39</v>
      </c>
      <c r="G24">
        <v>46</v>
      </c>
      <c r="H24">
        <v>500</v>
      </c>
      <c r="I24">
        <v>23000</v>
      </c>
      <c r="J24" t="s">
        <v>24</v>
      </c>
    </row>
    <row r="25" spans="1:10" collapsed="1" x14ac:dyDescent="0.3">
      <c r="A25">
        <v>124</v>
      </c>
      <c r="B25">
        <v>43497</v>
      </c>
      <c r="C25" t="s">
        <v>20</v>
      </c>
      <c r="D25" t="s">
        <v>31</v>
      </c>
      <c r="E25" t="s">
        <v>38</v>
      </c>
      <c r="F25" t="s">
        <v>39</v>
      </c>
      <c r="G25">
        <v>87</v>
      </c>
      <c r="H25">
        <v>500</v>
      </c>
      <c r="I25">
        <v>43500</v>
      </c>
      <c r="J25" t="s">
        <v>43</v>
      </c>
    </row>
    <row r="26" spans="1:10" x14ac:dyDescent="0.3">
      <c r="A26">
        <v>125</v>
      </c>
      <c r="B26">
        <v>43514</v>
      </c>
      <c r="C26" t="s">
        <v>27</v>
      </c>
      <c r="D26" t="s">
        <v>28</v>
      </c>
      <c r="E26" t="s">
        <v>34</v>
      </c>
      <c r="F26" t="s">
        <v>39</v>
      </c>
      <c r="G26">
        <v>4</v>
      </c>
      <c r="H26">
        <v>500</v>
      </c>
      <c r="I26">
        <v>2000</v>
      </c>
      <c r="J26" t="s">
        <v>30</v>
      </c>
    </row>
    <row r="27" spans="1:10" x14ac:dyDescent="0.3">
      <c r="A27">
        <v>126</v>
      </c>
      <c r="B27">
        <v>43531</v>
      </c>
      <c r="C27" t="s">
        <v>25</v>
      </c>
      <c r="D27" t="s">
        <v>21</v>
      </c>
      <c r="E27" t="s">
        <v>26</v>
      </c>
      <c r="F27" t="s">
        <v>39</v>
      </c>
      <c r="G27">
        <v>7</v>
      </c>
      <c r="H27">
        <v>500</v>
      </c>
      <c r="I27">
        <v>3500</v>
      </c>
      <c r="J27" t="s">
        <v>33</v>
      </c>
    </row>
    <row r="28" spans="1:10" x14ac:dyDescent="0.3">
      <c r="A28">
        <v>127</v>
      </c>
      <c r="B28">
        <v>43548</v>
      </c>
      <c r="C28" t="s">
        <v>20</v>
      </c>
      <c r="D28" t="s">
        <v>35</v>
      </c>
      <c r="E28" t="s">
        <v>41</v>
      </c>
      <c r="F28" t="s">
        <v>46</v>
      </c>
      <c r="G28">
        <v>50</v>
      </c>
      <c r="H28">
        <v>58.5</v>
      </c>
      <c r="I28">
        <v>2925</v>
      </c>
      <c r="J28" t="s">
        <v>24</v>
      </c>
    </row>
    <row r="29" spans="1:10" x14ac:dyDescent="0.3">
      <c r="A29">
        <v>128</v>
      </c>
      <c r="B29">
        <v>43565</v>
      </c>
      <c r="C29" t="s">
        <v>20</v>
      </c>
      <c r="D29" t="s">
        <v>28</v>
      </c>
      <c r="E29" t="s">
        <v>42</v>
      </c>
      <c r="F29" t="s">
        <v>45</v>
      </c>
      <c r="G29">
        <v>66</v>
      </c>
      <c r="H29">
        <v>1198</v>
      </c>
      <c r="I29">
        <v>79068</v>
      </c>
      <c r="J29" t="s">
        <v>33</v>
      </c>
    </row>
    <row r="30" spans="1:10" x14ac:dyDescent="0.3">
      <c r="A30">
        <v>129</v>
      </c>
      <c r="B30">
        <v>43582</v>
      </c>
      <c r="C30" t="s">
        <v>27</v>
      </c>
      <c r="D30" t="s">
        <v>28</v>
      </c>
      <c r="E30" t="s">
        <v>29</v>
      </c>
      <c r="F30" t="s">
        <v>23</v>
      </c>
      <c r="G30">
        <v>96</v>
      </c>
      <c r="H30">
        <v>225</v>
      </c>
      <c r="I30">
        <v>21600</v>
      </c>
      <c r="J30" t="s">
        <v>30</v>
      </c>
    </row>
    <row r="31" spans="1:10" x14ac:dyDescent="0.3">
      <c r="A31">
        <v>130</v>
      </c>
      <c r="B31">
        <v>43599</v>
      </c>
      <c r="C31" t="s">
        <v>20</v>
      </c>
      <c r="D31" t="s">
        <v>21</v>
      </c>
      <c r="E31" t="s">
        <v>22</v>
      </c>
      <c r="F31" t="s">
        <v>45</v>
      </c>
      <c r="G31">
        <v>53</v>
      </c>
      <c r="H31">
        <v>1198</v>
      </c>
      <c r="I31">
        <v>63494</v>
      </c>
      <c r="J31" t="s">
        <v>43</v>
      </c>
    </row>
    <row r="32" spans="1:10" x14ac:dyDescent="0.3">
      <c r="A32">
        <v>131</v>
      </c>
      <c r="B32">
        <v>43616</v>
      </c>
      <c r="C32" t="s">
        <v>20</v>
      </c>
      <c r="D32" t="s">
        <v>21</v>
      </c>
      <c r="E32" t="s">
        <v>22</v>
      </c>
      <c r="F32" t="s">
        <v>39</v>
      </c>
      <c r="G32">
        <v>80</v>
      </c>
      <c r="H32">
        <v>500</v>
      </c>
      <c r="I32">
        <v>40000</v>
      </c>
      <c r="J32" t="s">
        <v>30</v>
      </c>
    </row>
    <row r="33" spans="1:10" x14ac:dyDescent="0.3">
      <c r="A33">
        <v>132</v>
      </c>
      <c r="B33">
        <v>43633</v>
      </c>
      <c r="C33" t="s">
        <v>20</v>
      </c>
      <c r="D33" t="s">
        <v>35</v>
      </c>
      <c r="E33" t="s">
        <v>36</v>
      </c>
      <c r="F33" t="s">
        <v>37</v>
      </c>
      <c r="G33">
        <v>5</v>
      </c>
      <c r="H33">
        <v>125</v>
      </c>
      <c r="I33">
        <v>625</v>
      </c>
      <c r="J33" t="s">
        <v>33</v>
      </c>
    </row>
    <row r="34" spans="1:10" x14ac:dyDescent="0.3">
      <c r="A34">
        <v>133</v>
      </c>
      <c r="B34">
        <v>43650</v>
      </c>
      <c r="C34" t="s">
        <v>27</v>
      </c>
      <c r="D34" t="s">
        <v>28</v>
      </c>
      <c r="E34" t="s">
        <v>34</v>
      </c>
      <c r="F34" t="s">
        <v>46</v>
      </c>
      <c r="G34">
        <v>62</v>
      </c>
      <c r="H34">
        <v>58.5</v>
      </c>
      <c r="I34">
        <v>3627</v>
      </c>
      <c r="J34" t="s">
        <v>30</v>
      </c>
    </row>
    <row r="35" spans="1:10" x14ac:dyDescent="0.3">
      <c r="A35">
        <v>134</v>
      </c>
      <c r="B35">
        <v>43667</v>
      </c>
      <c r="C35" t="s">
        <v>20</v>
      </c>
      <c r="D35" t="s">
        <v>35</v>
      </c>
      <c r="E35" t="s">
        <v>40</v>
      </c>
      <c r="F35" t="s">
        <v>46</v>
      </c>
      <c r="G35">
        <v>55</v>
      </c>
      <c r="H35">
        <v>58.5</v>
      </c>
      <c r="I35">
        <v>3217.5</v>
      </c>
      <c r="J35" t="s">
        <v>33</v>
      </c>
    </row>
    <row r="36" spans="1:10" x14ac:dyDescent="0.3">
      <c r="A36">
        <v>135</v>
      </c>
      <c r="B36">
        <v>43684</v>
      </c>
      <c r="C36" t="s">
        <v>20</v>
      </c>
      <c r="D36" t="s">
        <v>35</v>
      </c>
      <c r="E36" t="s">
        <v>36</v>
      </c>
      <c r="F36" t="s">
        <v>46</v>
      </c>
      <c r="G36">
        <v>42</v>
      </c>
      <c r="H36">
        <v>58.5</v>
      </c>
      <c r="I36">
        <v>2457</v>
      </c>
      <c r="J36" t="s">
        <v>24</v>
      </c>
    </row>
    <row r="37" spans="1:10" x14ac:dyDescent="0.3">
      <c r="A37">
        <v>136</v>
      </c>
      <c r="B37">
        <v>43701</v>
      </c>
      <c r="C37" t="s">
        <v>25</v>
      </c>
      <c r="D37" t="s">
        <v>21</v>
      </c>
      <c r="E37" t="s">
        <v>26</v>
      </c>
      <c r="F37" t="s">
        <v>37</v>
      </c>
      <c r="G37">
        <v>3</v>
      </c>
      <c r="H37">
        <v>125</v>
      </c>
      <c r="I37">
        <v>375</v>
      </c>
      <c r="J37" t="s">
        <v>30</v>
      </c>
    </row>
    <row r="38" spans="1:10" x14ac:dyDescent="0.3">
      <c r="A38">
        <v>137</v>
      </c>
      <c r="B38">
        <v>43718</v>
      </c>
      <c r="C38" t="s">
        <v>20</v>
      </c>
      <c r="D38" t="s">
        <v>21</v>
      </c>
      <c r="E38" t="s">
        <v>22</v>
      </c>
      <c r="F38" t="s">
        <v>45</v>
      </c>
      <c r="G38">
        <v>7</v>
      </c>
      <c r="H38">
        <v>1198</v>
      </c>
      <c r="I38">
        <v>8386</v>
      </c>
      <c r="J38" t="s">
        <v>33</v>
      </c>
    </row>
    <row r="39" spans="1:10" x14ac:dyDescent="0.3">
      <c r="A39">
        <v>138</v>
      </c>
      <c r="B39">
        <v>43735</v>
      </c>
      <c r="C39" t="s">
        <v>25</v>
      </c>
      <c r="D39" t="s">
        <v>21</v>
      </c>
      <c r="E39" t="s">
        <v>26</v>
      </c>
      <c r="F39" t="s">
        <v>23</v>
      </c>
      <c r="G39">
        <v>76</v>
      </c>
      <c r="H39">
        <v>225</v>
      </c>
      <c r="I39">
        <v>17100</v>
      </c>
      <c r="J39" t="s">
        <v>24</v>
      </c>
    </row>
    <row r="40" spans="1:10" x14ac:dyDescent="0.3">
      <c r="A40">
        <v>139</v>
      </c>
      <c r="B40">
        <v>43752</v>
      </c>
      <c r="C40" t="s">
        <v>25</v>
      </c>
      <c r="D40" t="s">
        <v>31</v>
      </c>
      <c r="E40" t="s">
        <v>44</v>
      </c>
      <c r="F40" t="s">
        <v>39</v>
      </c>
      <c r="G40">
        <v>57</v>
      </c>
      <c r="H40">
        <v>500</v>
      </c>
      <c r="I40">
        <v>28500</v>
      </c>
      <c r="J40" t="s">
        <v>30</v>
      </c>
    </row>
    <row r="41" spans="1:10" x14ac:dyDescent="0.3">
      <c r="A41">
        <v>140</v>
      </c>
      <c r="B41">
        <v>43769</v>
      </c>
      <c r="C41" t="s">
        <v>20</v>
      </c>
      <c r="D41" t="s">
        <v>28</v>
      </c>
      <c r="E41" t="s">
        <v>42</v>
      </c>
      <c r="F41" t="s">
        <v>45</v>
      </c>
      <c r="G41">
        <v>14</v>
      </c>
      <c r="H41">
        <v>1198</v>
      </c>
      <c r="I41">
        <v>16772</v>
      </c>
      <c r="J41" t="s">
        <v>33</v>
      </c>
    </row>
    <row r="42" spans="1:10" x14ac:dyDescent="0.3">
      <c r="A42">
        <v>141</v>
      </c>
      <c r="B42">
        <v>43786</v>
      </c>
      <c r="C42" t="s">
        <v>20</v>
      </c>
      <c r="D42" t="s">
        <v>35</v>
      </c>
      <c r="E42" t="s">
        <v>41</v>
      </c>
      <c r="F42" t="s">
        <v>39</v>
      </c>
      <c r="G42">
        <v>11</v>
      </c>
      <c r="H42">
        <v>500</v>
      </c>
      <c r="I42">
        <v>5500</v>
      </c>
      <c r="J42" t="s">
        <v>33</v>
      </c>
    </row>
    <row r="43" spans="1:10" x14ac:dyDescent="0.3">
      <c r="A43">
        <v>142</v>
      </c>
      <c r="B43">
        <v>43803</v>
      </c>
      <c r="C43" t="s">
        <v>20</v>
      </c>
      <c r="D43" t="s">
        <v>35</v>
      </c>
      <c r="E43" t="s">
        <v>41</v>
      </c>
      <c r="F43" t="s">
        <v>39</v>
      </c>
      <c r="G43">
        <v>94</v>
      </c>
      <c r="H43">
        <v>500</v>
      </c>
      <c r="I43">
        <v>47000</v>
      </c>
      <c r="J43" t="s">
        <v>30</v>
      </c>
    </row>
    <row r="44" spans="1:10" x14ac:dyDescent="0.3">
      <c r="A44">
        <v>143</v>
      </c>
      <c r="B44">
        <v>43820</v>
      </c>
      <c r="C44" t="s">
        <v>20</v>
      </c>
      <c r="D44" t="s">
        <v>28</v>
      </c>
      <c r="E44" t="s">
        <v>42</v>
      </c>
      <c r="F44" t="s">
        <v>39</v>
      </c>
      <c r="G44">
        <v>28</v>
      </c>
      <c r="H44">
        <v>500</v>
      </c>
      <c r="I44">
        <v>14000</v>
      </c>
      <c r="J44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B4EA-C14C-4BD9-986C-721EAA0B4E00}">
  <dimension ref="A1:F8"/>
  <sheetViews>
    <sheetView zoomScale="145" zoomScaleNormal="145" workbookViewId="0">
      <selection activeCell="F3" sqref="F3"/>
    </sheetView>
  </sheetViews>
  <sheetFormatPr defaultRowHeight="14.4" x14ac:dyDescent="0.3"/>
  <sheetData>
    <row r="1" spans="1:6" x14ac:dyDescent="0.3">
      <c r="A1" t="s">
        <v>51</v>
      </c>
      <c r="B1" t="s">
        <v>52</v>
      </c>
      <c r="C1" t="s">
        <v>53</v>
      </c>
      <c r="D1" t="s">
        <v>54</v>
      </c>
    </row>
    <row r="2" spans="1:6" x14ac:dyDescent="0.3">
      <c r="A2" t="s">
        <v>55</v>
      </c>
      <c r="B2">
        <v>56</v>
      </c>
      <c r="C2">
        <v>46</v>
      </c>
      <c r="D2">
        <v>93</v>
      </c>
    </row>
    <row r="3" spans="1:6" x14ac:dyDescent="0.3">
      <c r="A3" t="s">
        <v>56</v>
      </c>
      <c r="B3">
        <v>51</v>
      </c>
      <c r="C3">
        <v>81</v>
      </c>
      <c r="D3">
        <v>64</v>
      </c>
    </row>
    <row r="4" spans="1:6" x14ac:dyDescent="0.3">
      <c r="A4" t="s">
        <v>38</v>
      </c>
      <c r="B4">
        <v>63</v>
      </c>
      <c r="C4">
        <v>77</v>
      </c>
      <c r="D4">
        <v>80</v>
      </c>
      <c r="F4" t="s">
        <v>58</v>
      </c>
    </row>
    <row r="5" spans="1:6" x14ac:dyDescent="0.3">
      <c r="A5" t="s">
        <v>57</v>
      </c>
      <c r="B5">
        <v>40</v>
      </c>
      <c r="C5">
        <v>78</v>
      </c>
      <c r="D5">
        <v>89</v>
      </c>
    </row>
    <row r="6" spans="1:6" x14ac:dyDescent="0.3">
      <c r="E6" t="s">
        <v>59</v>
      </c>
      <c r="F6">
        <v>90</v>
      </c>
    </row>
    <row r="7" spans="1:6" x14ac:dyDescent="0.3">
      <c r="E7" t="s">
        <v>60</v>
      </c>
      <c r="F7">
        <v>60</v>
      </c>
    </row>
    <row r="8" spans="1:6" x14ac:dyDescent="0.3">
      <c r="E8" t="s">
        <v>61</v>
      </c>
      <c r="F8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0762-D23B-416B-8D8C-E594060F391C}">
  <dimension ref="A1:I10"/>
  <sheetViews>
    <sheetView tabSelected="1" zoomScale="145" zoomScaleNormal="145" workbookViewId="0">
      <selection activeCell="E6" sqref="E6"/>
    </sheetView>
  </sheetViews>
  <sheetFormatPr defaultRowHeight="14.4" x14ac:dyDescent="0.3"/>
  <cols>
    <col min="1" max="1" width="16.109375" customWidth="1"/>
    <col min="2" max="2" width="9.109375" bestFit="1" customWidth="1"/>
    <col min="3" max="3" width="12.6640625" bestFit="1" customWidth="1"/>
    <col min="4" max="4" width="10.88671875" bestFit="1" customWidth="1"/>
    <col min="5" max="5" width="12.44140625" bestFit="1" customWidth="1"/>
    <col min="6" max="6" width="9.109375" bestFit="1" customWidth="1"/>
    <col min="7" max="7" width="12.6640625" bestFit="1" customWidth="1"/>
    <col min="8" max="8" width="10.88671875" bestFit="1" customWidth="1"/>
    <col min="9" max="9" width="9.109375" bestFit="1" customWidth="1"/>
  </cols>
  <sheetData>
    <row r="1" spans="1:9" x14ac:dyDescent="0.3">
      <c r="A1" s="9" t="s">
        <v>64</v>
      </c>
      <c r="B1">
        <v>101</v>
      </c>
      <c r="C1">
        <v>102</v>
      </c>
      <c r="D1">
        <v>103</v>
      </c>
      <c r="E1">
        <v>104</v>
      </c>
      <c r="F1">
        <v>105</v>
      </c>
      <c r="G1">
        <v>106</v>
      </c>
      <c r="H1">
        <v>107</v>
      </c>
      <c r="I1">
        <v>108</v>
      </c>
    </row>
    <row r="2" spans="1:9" x14ac:dyDescent="0.3">
      <c r="A2" s="9" t="s">
        <v>11</v>
      </c>
      <c r="B2">
        <v>43106</v>
      </c>
      <c r="C2">
        <v>43123</v>
      </c>
      <c r="D2">
        <v>43140</v>
      </c>
      <c r="E2">
        <v>43157</v>
      </c>
      <c r="F2">
        <v>43174</v>
      </c>
      <c r="G2">
        <v>43191</v>
      </c>
      <c r="H2">
        <v>43208</v>
      </c>
      <c r="I2">
        <v>43225</v>
      </c>
    </row>
    <row r="3" spans="1:9" x14ac:dyDescent="0.3">
      <c r="A3" s="9" t="s">
        <v>12</v>
      </c>
      <c r="B3" t="s">
        <v>27</v>
      </c>
      <c r="C3" t="s">
        <v>20</v>
      </c>
      <c r="D3" t="s">
        <v>20</v>
      </c>
      <c r="E3" t="s">
        <v>20</v>
      </c>
      <c r="F3" t="s">
        <v>25</v>
      </c>
      <c r="G3" t="s">
        <v>27</v>
      </c>
      <c r="H3" t="s">
        <v>20</v>
      </c>
      <c r="I3" t="s">
        <v>20</v>
      </c>
    </row>
    <row r="4" spans="1:9" x14ac:dyDescent="0.3">
      <c r="A4" s="9" t="s">
        <v>13</v>
      </c>
      <c r="B4" t="s">
        <v>28</v>
      </c>
      <c r="C4" t="s">
        <v>35</v>
      </c>
      <c r="D4" t="s">
        <v>35</v>
      </c>
      <c r="E4" t="s">
        <v>21</v>
      </c>
      <c r="F4" t="s">
        <v>21</v>
      </c>
      <c r="G4" t="s">
        <v>28</v>
      </c>
      <c r="H4" t="s">
        <v>28</v>
      </c>
      <c r="I4" t="s">
        <v>35</v>
      </c>
    </row>
    <row r="5" spans="1:9" x14ac:dyDescent="0.3">
      <c r="A5" s="9" t="s">
        <v>14</v>
      </c>
      <c r="B5" t="s">
        <v>34</v>
      </c>
      <c r="C5" t="s">
        <v>36</v>
      </c>
      <c r="D5" t="s">
        <v>41</v>
      </c>
      <c r="E5" t="s">
        <v>22</v>
      </c>
      <c r="F5" t="s">
        <v>26</v>
      </c>
      <c r="G5" t="s">
        <v>34</v>
      </c>
      <c r="H5" t="s">
        <v>42</v>
      </c>
      <c r="I5" t="s">
        <v>41</v>
      </c>
    </row>
    <row r="6" spans="1:9" x14ac:dyDescent="0.3">
      <c r="A6" s="9" t="s">
        <v>15</v>
      </c>
      <c r="B6" t="s">
        <v>45</v>
      </c>
      <c r="C6" t="s">
        <v>39</v>
      </c>
      <c r="D6" t="s">
        <v>45</v>
      </c>
      <c r="E6" t="s">
        <v>23</v>
      </c>
      <c r="F6" t="s">
        <v>45</v>
      </c>
      <c r="G6" t="s">
        <v>39</v>
      </c>
      <c r="H6" t="s">
        <v>45</v>
      </c>
      <c r="I6" t="s">
        <v>45</v>
      </c>
    </row>
    <row r="7" spans="1:9" x14ac:dyDescent="0.3">
      <c r="A7" s="9" t="s">
        <v>16</v>
      </c>
      <c r="B7">
        <v>95</v>
      </c>
      <c r="C7">
        <v>50</v>
      </c>
      <c r="D7">
        <v>36</v>
      </c>
      <c r="E7">
        <v>27</v>
      </c>
      <c r="F7">
        <v>56</v>
      </c>
      <c r="G7">
        <v>60</v>
      </c>
      <c r="H7">
        <v>75</v>
      </c>
      <c r="I7">
        <v>90</v>
      </c>
    </row>
    <row r="8" spans="1:9" x14ac:dyDescent="0.3">
      <c r="A8" s="9" t="s">
        <v>17</v>
      </c>
      <c r="B8">
        <v>1198</v>
      </c>
      <c r="C8">
        <v>500</v>
      </c>
      <c r="D8">
        <v>1198</v>
      </c>
      <c r="E8">
        <v>225</v>
      </c>
      <c r="F8">
        <v>1198</v>
      </c>
      <c r="G8">
        <v>500</v>
      </c>
      <c r="H8">
        <v>1198</v>
      </c>
      <c r="I8">
        <v>1198</v>
      </c>
    </row>
    <row r="9" spans="1:9" x14ac:dyDescent="0.3">
      <c r="A9" s="9" t="s">
        <v>18</v>
      </c>
      <c r="B9">
        <v>113810</v>
      </c>
      <c r="C9">
        <v>25000</v>
      </c>
      <c r="D9">
        <v>43128</v>
      </c>
      <c r="E9">
        <v>6075</v>
      </c>
      <c r="F9">
        <v>67088</v>
      </c>
      <c r="G9">
        <v>30000</v>
      </c>
      <c r="H9">
        <v>89850</v>
      </c>
      <c r="I9">
        <v>107820</v>
      </c>
    </row>
    <row r="10" spans="1:9" x14ac:dyDescent="0.3">
      <c r="A10" s="9" t="s">
        <v>19</v>
      </c>
      <c r="B10" t="s">
        <v>43</v>
      </c>
      <c r="C10" t="s">
        <v>30</v>
      </c>
      <c r="D10" t="s">
        <v>33</v>
      </c>
      <c r="E10" t="s">
        <v>24</v>
      </c>
      <c r="F10" t="s">
        <v>43</v>
      </c>
      <c r="G10" t="s">
        <v>30</v>
      </c>
      <c r="H10" t="s">
        <v>33</v>
      </c>
      <c r="I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Practice Date Formule</vt:lpstr>
      <vt:lpstr>Sheet1</vt:lpstr>
      <vt:lpstr>Some Advance Maths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2026-01-21T13:01:31Z</dcterms:modified>
</cp:coreProperties>
</file>