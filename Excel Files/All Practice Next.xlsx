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Cadd Mentor\Data_Analyst_Practice_Files\Neeraj Data\"/>
    </mc:Choice>
  </mc:AlternateContent>
  <xr:revisionPtr revIDLastSave="0" documentId="13_ncr:1_{ED63E536-E82A-402D-9E27-15794E989D51}" xr6:coauthVersionLast="36" xr6:coauthVersionMax="36" xr10:uidLastSave="{00000000-0000-0000-0000-000000000000}"/>
  <bookViews>
    <workbookView xWindow="0" yWindow="0" windowWidth="22260" windowHeight="12648" activeTab="1" xr2:uid="{00000000-000D-0000-FFFF-FFFF00000000}"/>
  </bookViews>
  <sheets>
    <sheet name="Practice Date Formule" sheetId="1" r:id="rId1"/>
    <sheet name="Some Advance Math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2" i="2" l="1"/>
  <c r="R10" i="2"/>
  <c r="B5" i="1" l="1"/>
  <c r="B2" i="1"/>
  <c r="D2" i="1" s="1"/>
  <c r="A2" i="1"/>
  <c r="I2" i="1" s="1"/>
  <c r="I4" i="1" l="1"/>
  <c r="G2" i="1"/>
  <c r="H2" i="1"/>
  <c r="F2" i="1"/>
  <c r="E2" i="1"/>
  <c r="C2" i="1"/>
</calcChain>
</file>

<file path=xl/sharedStrings.xml><?xml version="1.0" encoding="utf-8"?>
<sst xmlns="http://schemas.openxmlformats.org/spreadsheetml/2006/main" count="235" uniqueCount="47">
  <si>
    <t>Today</t>
  </si>
  <si>
    <t>Now</t>
  </si>
  <si>
    <t>Year</t>
  </si>
  <si>
    <t>Month</t>
  </si>
  <si>
    <t>Day</t>
  </si>
  <si>
    <t>Hours</t>
  </si>
  <si>
    <t>Mins</t>
  </si>
  <si>
    <t>Seconds</t>
  </si>
  <si>
    <t>Date+5</t>
  </si>
  <si>
    <t>Months+2</t>
  </si>
  <si>
    <t>Years+6</t>
  </si>
  <si>
    <t>OrderDate</t>
  </si>
  <si>
    <t>Region</t>
  </si>
  <si>
    <t>Manager</t>
  </si>
  <si>
    <t>SalesMan</t>
  </si>
  <si>
    <t>Item</t>
  </si>
  <si>
    <t>Units</t>
  </si>
  <si>
    <t>Unit_price</t>
  </si>
  <si>
    <t>Sale_amt</t>
  </si>
  <si>
    <t>Payment Type</t>
  </si>
  <si>
    <t>Central</t>
  </si>
  <si>
    <t>Timothy</t>
  </si>
  <si>
    <t>David</t>
  </si>
  <si>
    <t>Cell Phone</t>
  </si>
  <si>
    <t>NET BANKING</t>
  </si>
  <si>
    <t>West</t>
  </si>
  <si>
    <t>Stephen</t>
  </si>
  <si>
    <t>East</t>
  </si>
  <si>
    <t>Martha</t>
  </si>
  <si>
    <t>Diana</t>
  </si>
  <si>
    <t>CASH</t>
  </si>
  <si>
    <t>Douglas</t>
  </si>
  <si>
    <t>Karen</t>
  </si>
  <si>
    <t>DEBIT CARD</t>
  </si>
  <si>
    <t>Alexander</t>
  </si>
  <si>
    <t>Hermann</t>
  </si>
  <si>
    <t>Shelli</t>
  </si>
  <si>
    <t>Desk</t>
  </si>
  <si>
    <t>John</t>
  </si>
  <si>
    <t>Home Theater</t>
  </si>
  <si>
    <t>Sigal</t>
  </si>
  <si>
    <t>Luis</t>
  </si>
  <si>
    <t>Steven</t>
  </si>
  <si>
    <t>UPI</t>
  </si>
  <si>
    <t>Michael</t>
  </si>
  <si>
    <t>Television</t>
  </si>
  <si>
    <t>Video 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</si>
</sst>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sz val="12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0" fontId="2" fillId="0" borderId="0"/>
    <xf numFmtId="43" fontId="4" fillId="0" borderId="0" applyFon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4" borderId="1" xfId="0" applyFont="1" applyFill="1" applyBorder="1"/>
    <xf numFmtId="0" fontId="0" fillId="0" borderId="1" xfId="0" applyFont="1" applyBorder="1"/>
    <xf numFmtId="14" fontId="0" fillId="0" borderId="0" xfId="0" applyNumberFormat="1"/>
    <xf numFmtId="22" fontId="0" fillId="0" borderId="0" xfId="0" applyNumberFormat="1"/>
    <xf numFmtId="0" fontId="3" fillId="3" borderId="0" xfId="1" applyNumberFormat="1" applyFont="1" applyFill="1" applyBorder="1" applyAlignment="1"/>
    <xf numFmtId="43" fontId="1" fillId="3" borderId="0" xfId="2" applyNumberFormat="1" applyFont="1" applyFill="1" applyBorder="1" applyAlignment="1">
      <alignment horizontal="left" vertical="center"/>
    </xf>
  </cellXfs>
  <cellStyles count="3">
    <cellStyle name="Comma 2" xfId="2" xr:uid="{8E94604C-1601-4341-B1AB-C1477B696093}"/>
    <cellStyle name="Normal" xfId="0" builtinId="0"/>
    <cellStyle name="Normal 2" xfId="1" xr:uid="{33EE3055-F96F-42A2-BC68-7FC7D5BD15B3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5F1610-728F-4AF1-B4EA-F8821EC7EFB4}" name="Table3" displayName="Table3" ref="A1:I44" totalsRowShown="0" headerRowDxfId="11" dataDxfId="10" tableBorderDxfId="9" headerRowCellStyle="Normal 2">
  <autoFilter ref="A1:I44" xr:uid="{CF8B11D6-8494-479D-A165-9DC6F143D77E}"/>
  <tableColumns count="9">
    <tableColumn id="1" xr3:uid="{3754B459-EFA0-49FE-851A-61C50716CC25}" name="OrderDate" dataDxfId="8"/>
    <tableColumn id="2" xr3:uid="{6D6A0230-10EC-4FC2-8D39-D12387BD856D}" name="Region" dataDxfId="7"/>
    <tableColumn id="3" xr3:uid="{F8C6AD3E-0955-4DCB-923C-7F3A710D19B9}" name="Manager" dataDxfId="6"/>
    <tableColumn id="4" xr3:uid="{B5074F15-7D6B-4657-9DBE-03827EC0440D}" name="SalesMan" dataDxfId="5"/>
    <tableColumn id="5" xr3:uid="{A78ED080-B9C9-4125-AAAC-8B90C74F23B2}" name="Item" dataDxfId="4"/>
    <tableColumn id="6" xr3:uid="{0A14E989-36B8-41B1-B6AF-645B7DE31340}" name="Units" dataDxfId="3"/>
    <tableColumn id="7" xr3:uid="{29355482-7D56-439A-9B33-87C67FAFCE6A}" name="Unit_price" dataDxfId="2"/>
    <tableColumn id="8" xr3:uid="{69FA73A1-FF14-470D-93B9-E1E83D4222DD}" name="Sale_amt" dataDxfId="1"/>
    <tableColumn id="9" xr3:uid="{9A3195EC-20A6-4C8F-B22C-56840AAF5A58}" name="Payment 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7"/>
  <sheetViews>
    <sheetView zoomScale="115" zoomScaleNormal="115" workbookViewId="0">
      <selection activeCell="J10" sqref="J10"/>
    </sheetView>
  </sheetViews>
  <sheetFormatPr defaultRowHeight="14.4" x14ac:dyDescent="0.3"/>
  <cols>
    <col min="2" max="2" width="15.33203125" customWidth="1"/>
    <col min="9" max="9" width="12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4">
        <f ca="1">TODAY()</f>
        <v>46043</v>
      </c>
      <c r="B2" s="5">
        <f ca="1">NOW()</f>
        <v>46043.740102314812</v>
      </c>
      <c r="C2">
        <f ca="1">YEAR(B2)</f>
        <v>2026</v>
      </c>
      <c r="D2">
        <f ca="1">MONTH(B2)</f>
        <v>1</v>
      </c>
      <c r="E2">
        <f ca="1">DAY(B2)</f>
        <v>21</v>
      </c>
      <c r="F2">
        <f ca="1">HOUR(B2)</f>
        <v>17</v>
      </c>
      <c r="G2">
        <f ca="1">MINUTE(B2)</f>
        <v>45</v>
      </c>
      <c r="H2">
        <f ca="1">SECOND(B2)</f>
        <v>45</v>
      </c>
      <c r="I2" s="5">
        <f ca="1">EDATE(A2,4)</f>
        <v>46163</v>
      </c>
    </row>
    <row r="4" spans="1:11" x14ac:dyDescent="0.3">
      <c r="I4" s="4">
        <f ca="1">EDATE(A2,3*12)</f>
        <v>47139</v>
      </c>
    </row>
    <row r="5" spans="1:11" x14ac:dyDescent="0.3">
      <c r="B5" s="4">
        <f>DATE(2022,4,23)</f>
        <v>44674</v>
      </c>
    </row>
    <row r="7" spans="1:11" x14ac:dyDescent="0.3">
      <c r="B7" s="4">
        <v>45282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4A64F-D990-491A-8769-AE954C758407}">
  <sheetPr codeName="Sheet2"/>
  <dimension ref="A1:R44"/>
  <sheetViews>
    <sheetView tabSelected="1" zoomScale="85" zoomScaleNormal="85" workbookViewId="0">
      <selection activeCell="O28" sqref="O28"/>
    </sheetView>
  </sheetViews>
  <sheetFormatPr defaultRowHeight="14.4" x14ac:dyDescent="0.3"/>
  <cols>
    <col min="1" max="1" width="12.33203125" customWidth="1"/>
    <col min="2" max="2" width="9" customWidth="1"/>
    <col min="3" max="3" width="10.88671875" customWidth="1"/>
    <col min="4" max="4" width="11.33203125" customWidth="1"/>
    <col min="5" max="5" width="12.6640625" bestFit="1" customWidth="1"/>
    <col min="6" max="6" width="7.44140625" customWidth="1"/>
    <col min="7" max="7" width="13.21875" customWidth="1"/>
    <col min="8" max="8" width="11.109375" bestFit="1" customWidth="1"/>
    <col min="9" max="9" width="15.6640625" customWidth="1"/>
    <col min="10" max="10" width="7" bestFit="1" customWidth="1"/>
    <col min="11" max="11" width="7.77734375" customWidth="1"/>
    <col min="12" max="12" width="8.5546875" customWidth="1"/>
    <col min="13" max="13" width="8" customWidth="1"/>
    <col min="14" max="14" width="9.109375" customWidth="1"/>
    <col min="15" max="15" width="9.88671875" customWidth="1"/>
    <col min="18" max="18" width="14.33203125" customWidth="1"/>
  </cols>
  <sheetData>
    <row r="1" spans="1:18" x14ac:dyDescent="0.3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7" t="s">
        <v>17</v>
      </c>
      <c r="H1" s="6" t="s">
        <v>18</v>
      </c>
      <c r="I1" s="6" t="s">
        <v>19</v>
      </c>
    </row>
    <row r="2" spans="1:18" x14ac:dyDescent="0.3">
      <c r="A2" s="2">
        <v>43157</v>
      </c>
      <c r="B2" s="2" t="s">
        <v>20</v>
      </c>
      <c r="C2" s="2" t="s">
        <v>21</v>
      </c>
      <c r="D2" s="2" t="s">
        <v>22</v>
      </c>
      <c r="E2" s="2" t="s">
        <v>23</v>
      </c>
      <c r="F2" s="2">
        <v>27</v>
      </c>
      <c r="G2" s="2">
        <v>225</v>
      </c>
      <c r="H2" s="2">
        <v>6075</v>
      </c>
      <c r="I2" s="2" t="s">
        <v>24</v>
      </c>
    </row>
    <row r="3" spans="1:18" x14ac:dyDescent="0.3">
      <c r="A3" s="3">
        <v>43735</v>
      </c>
      <c r="B3" s="3" t="s">
        <v>25</v>
      </c>
      <c r="C3" s="3" t="s">
        <v>21</v>
      </c>
      <c r="D3" s="3" t="s">
        <v>26</v>
      </c>
      <c r="E3" s="3" t="s">
        <v>23</v>
      </c>
      <c r="F3" s="3">
        <v>76</v>
      </c>
      <c r="G3" s="3">
        <v>225</v>
      </c>
      <c r="H3" s="3">
        <v>17100</v>
      </c>
      <c r="I3" s="3" t="s">
        <v>24</v>
      </c>
    </row>
    <row r="4" spans="1:18" x14ac:dyDescent="0.3">
      <c r="A4" s="2">
        <v>43582</v>
      </c>
      <c r="B4" s="2" t="s">
        <v>27</v>
      </c>
      <c r="C4" s="2" t="s">
        <v>28</v>
      </c>
      <c r="D4" s="2" t="s">
        <v>29</v>
      </c>
      <c r="E4" s="2" t="s">
        <v>23</v>
      </c>
      <c r="F4" s="2">
        <v>96</v>
      </c>
      <c r="G4" s="2">
        <v>225</v>
      </c>
      <c r="H4" s="2">
        <v>21600</v>
      </c>
      <c r="I4" s="2" t="s">
        <v>30</v>
      </c>
    </row>
    <row r="5" spans="1:18" x14ac:dyDescent="0.3">
      <c r="A5" s="3">
        <v>43412</v>
      </c>
      <c r="B5" s="3" t="s">
        <v>27</v>
      </c>
      <c r="C5" s="3" t="s">
        <v>31</v>
      </c>
      <c r="D5" s="3" t="s">
        <v>32</v>
      </c>
      <c r="E5" s="3" t="s">
        <v>23</v>
      </c>
      <c r="F5" s="3">
        <v>15</v>
      </c>
      <c r="G5" s="3">
        <v>225</v>
      </c>
      <c r="H5" s="3">
        <v>3375</v>
      </c>
      <c r="I5" s="3" t="s">
        <v>33</v>
      </c>
    </row>
    <row r="6" spans="1:18" x14ac:dyDescent="0.3">
      <c r="A6" s="2">
        <v>43395</v>
      </c>
      <c r="B6" s="2" t="s">
        <v>27</v>
      </c>
      <c r="C6" s="2" t="s">
        <v>28</v>
      </c>
      <c r="D6" s="2" t="s">
        <v>34</v>
      </c>
      <c r="E6" s="2" t="s">
        <v>23</v>
      </c>
      <c r="F6" s="2">
        <v>64</v>
      </c>
      <c r="G6" s="2">
        <v>225</v>
      </c>
      <c r="H6" s="2">
        <v>14400</v>
      </c>
      <c r="I6" s="2" t="s">
        <v>24</v>
      </c>
    </row>
    <row r="7" spans="1:18" x14ac:dyDescent="0.3">
      <c r="A7" s="3">
        <v>43633</v>
      </c>
      <c r="B7" s="3" t="s">
        <v>20</v>
      </c>
      <c r="C7" s="3" t="s">
        <v>35</v>
      </c>
      <c r="D7" s="3" t="s">
        <v>36</v>
      </c>
      <c r="E7" s="3" t="s">
        <v>37</v>
      </c>
      <c r="F7" s="3">
        <v>5</v>
      </c>
      <c r="G7" s="3">
        <v>125</v>
      </c>
      <c r="H7" s="3">
        <v>625</v>
      </c>
      <c r="I7" s="3" t="s">
        <v>33</v>
      </c>
    </row>
    <row r="8" spans="1:18" hidden="1" x14ac:dyDescent="0.3">
      <c r="A8" s="2">
        <v>43344</v>
      </c>
      <c r="B8" s="2" t="s">
        <v>20</v>
      </c>
      <c r="C8" s="2" t="s">
        <v>31</v>
      </c>
      <c r="D8" s="2" t="s">
        <v>38</v>
      </c>
      <c r="E8" s="2" t="s">
        <v>37</v>
      </c>
      <c r="F8" s="2">
        <v>2</v>
      </c>
      <c r="G8" s="2">
        <v>125</v>
      </c>
      <c r="H8" s="2">
        <v>250</v>
      </c>
      <c r="I8" s="2" t="s">
        <v>24</v>
      </c>
    </row>
    <row r="9" spans="1:18" hidden="1" x14ac:dyDescent="0.3">
      <c r="A9" s="3">
        <v>43701</v>
      </c>
      <c r="B9" s="3" t="s">
        <v>25</v>
      </c>
      <c r="C9" s="3" t="s">
        <v>21</v>
      </c>
      <c r="D9" s="3" t="s">
        <v>26</v>
      </c>
      <c r="E9" s="3" t="s">
        <v>37</v>
      </c>
      <c r="F9" s="3">
        <v>3</v>
      </c>
      <c r="G9" s="3">
        <v>125</v>
      </c>
      <c r="H9" s="3">
        <v>375</v>
      </c>
      <c r="I9" s="3" t="s">
        <v>30</v>
      </c>
    </row>
    <row r="10" spans="1:18" hidden="1" x14ac:dyDescent="0.3">
      <c r="A10" s="2">
        <v>43123</v>
      </c>
      <c r="B10" s="2" t="s">
        <v>20</v>
      </c>
      <c r="C10" s="2" t="s">
        <v>35</v>
      </c>
      <c r="D10" s="2" t="s">
        <v>36</v>
      </c>
      <c r="E10" s="2" t="s">
        <v>39</v>
      </c>
      <c r="F10" s="2">
        <v>50</v>
      </c>
      <c r="G10" s="2">
        <v>500</v>
      </c>
      <c r="H10" s="2">
        <v>25000</v>
      </c>
      <c r="I10" s="2" t="s">
        <v>30</v>
      </c>
      <c r="R10">
        <f>SUMIF('Some Advance Maths'!$B$2:$B$44,"Central",'Some Advance Maths'!$H$2:$H$44)</f>
        <v>829769.5</v>
      </c>
    </row>
    <row r="11" spans="1:18" hidden="1" x14ac:dyDescent="0.3">
      <c r="A11" s="3">
        <v>43378</v>
      </c>
      <c r="B11" s="3" t="s">
        <v>20</v>
      </c>
      <c r="C11" s="3" t="s">
        <v>35</v>
      </c>
      <c r="D11" s="3" t="s">
        <v>40</v>
      </c>
      <c r="E11" s="3" t="s">
        <v>39</v>
      </c>
      <c r="F11" s="3">
        <v>28</v>
      </c>
      <c r="G11" s="3">
        <v>500</v>
      </c>
      <c r="H11" s="3">
        <v>14000</v>
      </c>
      <c r="I11" s="3" t="s">
        <v>30</v>
      </c>
    </row>
    <row r="12" spans="1:18" hidden="1" x14ac:dyDescent="0.3">
      <c r="A12" s="2">
        <v>43616</v>
      </c>
      <c r="B12" s="2" t="s">
        <v>20</v>
      </c>
      <c r="C12" s="2" t="s">
        <v>21</v>
      </c>
      <c r="D12" s="2" t="s">
        <v>22</v>
      </c>
      <c r="E12" s="2" t="s">
        <v>39</v>
      </c>
      <c r="F12" s="2">
        <v>80</v>
      </c>
      <c r="G12" s="2">
        <v>500</v>
      </c>
      <c r="H12" s="2">
        <v>40000</v>
      </c>
      <c r="I12" s="2" t="s">
        <v>30</v>
      </c>
      <c r="R12">
        <f>SUMIFS('Some Advance Maths'!$H$2:$H$44,'Some Advance Maths'!$B$2:$B$44,"Central",'Some Advance Maths'!$I$2:$I$44,"CASH")</f>
        <v>233820</v>
      </c>
    </row>
    <row r="13" spans="1:18" hidden="1" x14ac:dyDescent="0.3">
      <c r="A13" s="3">
        <v>43803</v>
      </c>
      <c r="B13" s="3" t="s">
        <v>20</v>
      </c>
      <c r="C13" s="3" t="s">
        <v>35</v>
      </c>
      <c r="D13" s="3" t="s">
        <v>41</v>
      </c>
      <c r="E13" s="3" t="s">
        <v>39</v>
      </c>
      <c r="F13" s="3">
        <v>94</v>
      </c>
      <c r="G13" s="3">
        <v>500</v>
      </c>
      <c r="H13" s="3">
        <v>47000</v>
      </c>
      <c r="I13" s="3" t="s">
        <v>30</v>
      </c>
    </row>
    <row r="14" spans="1:18" x14ac:dyDescent="0.3">
      <c r="A14" s="2">
        <v>43786</v>
      </c>
      <c r="B14" s="2" t="s">
        <v>20</v>
      </c>
      <c r="C14" s="2" t="s">
        <v>35</v>
      </c>
      <c r="D14" s="2" t="s">
        <v>41</v>
      </c>
      <c r="E14" s="2" t="s">
        <v>39</v>
      </c>
      <c r="F14" s="2">
        <v>11</v>
      </c>
      <c r="G14" s="2">
        <v>500</v>
      </c>
      <c r="H14" s="2">
        <v>5500</v>
      </c>
      <c r="I14" s="2" t="s">
        <v>33</v>
      </c>
    </row>
    <row r="15" spans="1:18" collapsed="1" x14ac:dyDescent="0.3">
      <c r="A15" s="3">
        <v>43820</v>
      </c>
      <c r="B15" s="3" t="s">
        <v>20</v>
      </c>
      <c r="C15" s="3" t="s">
        <v>28</v>
      </c>
      <c r="D15" s="3" t="s">
        <v>42</v>
      </c>
      <c r="E15" s="3" t="s">
        <v>39</v>
      </c>
      <c r="F15" s="3">
        <v>28</v>
      </c>
      <c r="G15" s="3">
        <v>500</v>
      </c>
      <c r="H15" s="3">
        <v>14000</v>
      </c>
      <c r="I15" s="3" t="s">
        <v>33</v>
      </c>
    </row>
    <row r="16" spans="1:18" x14ac:dyDescent="0.3">
      <c r="A16" s="2">
        <v>43480</v>
      </c>
      <c r="B16" s="2" t="s">
        <v>20</v>
      </c>
      <c r="C16" s="2" t="s">
        <v>21</v>
      </c>
      <c r="D16" s="2" t="s">
        <v>22</v>
      </c>
      <c r="E16" s="2" t="s">
        <v>39</v>
      </c>
      <c r="F16" s="2">
        <v>46</v>
      </c>
      <c r="G16" s="2">
        <v>500</v>
      </c>
      <c r="H16" s="2">
        <v>23000</v>
      </c>
      <c r="I16" s="2" t="s">
        <v>24</v>
      </c>
    </row>
    <row r="17" spans="1:9" x14ac:dyDescent="0.3">
      <c r="A17" s="3">
        <v>43497</v>
      </c>
      <c r="B17" s="3" t="s">
        <v>20</v>
      </c>
      <c r="C17" s="3" t="s">
        <v>31</v>
      </c>
      <c r="D17" s="3" t="s">
        <v>38</v>
      </c>
      <c r="E17" s="3" t="s">
        <v>39</v>
      </c>
      <c r="F17" s="3">
        <v>87</v>
      </c>
      <c r="G17" s="3">
        <v>500</v>
      </c>
      <c r="H17" s="3">
        <v>43500</v>
      </c>
      <c r="I17" s="3" t="s">
        <v>43</v>
      </c>
    </row>
    <row r="18" spans="1:9" x14ac:dyDescent="0.3">
      <c r="A18" s="2">
        <v>43752</v>
      </c>
      <c r="B18" s="2" t="s">
        <v>25</v>
      </c>
      <c r="C18" s="2" t="s">
        <v>31</v>
      </c>
      <c r="D18" s="2" t="s">
        <v>44</v>
      </c>
      <c r="E18" s="2" t="s">
        <v>39</v>
      </c>
      <c r="F18" s="2">
        <v>57</v>
      </c>
      <c r="G18" s="2">
        <v>500</v>
      </c>
      <c r="H18" s="2">
        <v>28500</v>
      </c>
      <c r="I18" s="2" t="s">
        <v>30</v>
      </c>
    </row>
    <row r="19" spans="1:9" x14ac:dyDescent="0.3">
      <c r="A19" s="3">
        <v>43531</v>
      </c>
      <c r="B19" s="3" t="s">
        <v>25</v>
      </c>
      <c r="C19" s="3" t="s">
        <v>21</v>
      </c>
      <c r="D19" s="3" t="s">
        <v>26</v>
      </c>
      <c r="E19" s="3" t="s">
        <v>39</v>
      </c>
      <c r="F19" s="3">
        <v>7</v>
      </c>
      <c r="G19" s="3">
        <v>500</v>
      </c>
      <c r="H19" s="3">
        <v>3500</v>
      </c>
      <c r="I19" s="3" t="s">
        <v>33</v>
      </c>
    </row>
    <row r="20" spans="1:9" hidden="1" x14ac:dyDescent="0.3">
      <c r="A20" s="2">
        <v>43191</v>
      </c>
      <c r="B20" s="2" t="s">
        <v>27</v>
      </c>
      <c r="C20" s="2" t="s">
        <v>28</v>
      </c>
      <c r="D20" s="2" t="s">
        <v>34</v>
      </c>
      <c r="E20" s="2" t="s">
        <v>39</v>
      </c>
      <c r="F20" s="2">
        <v>60</v>
      </c>
      <c r="G20" s="2">
        <v>500</v>
      </c>
      <c r="H20" s="2">
        <v>30000</v>
      </c>
      <c r="I20" s="2" t="s">
        <v>30</v>
      </c>
    </row>
    <row r="21" spans="1:9" hidden="1" x14ac:dyDescent="0.3">
      <c r="A21" s="3">
        <v>43514</v>
      </c>
      <c r="B21" s="3" t="s">
        <v>27</v>
      </c>
      <c r="C21" s="3" t="s">
        <v>28</v>
      </c>
      <c r="D21" s="3" t="s">
        <v>34</v>
      </c>
      <c r="E21" s="3" t="s">
        <v>39</v>
      </c>
      <c r="F21" s="3">
        <v>4</v>
      </c>
      <c r="G21" s="3">
        <v>500</v>
      </c>
      <c r="H21" s="3">
        <v>2000</v>
      </c>
      <c r="I21" s="3" t="s">
        <v>30</v>
      </c>
    </row>
    <row r="22" spans="1:9" hidden="1" x14ac:dyDescent="0.3">
      <c r="A22" s="2">
        <v>43293</v>
      </c>
      <c r="B22" s="2" t="s">
        <v>27</v>
      </c>
      <c r="C22" s="2" t="s">
        <v>28</v>
      </c>
      <c r="D22" s="2" t="s">
        <v>29</v>
      </c>
      <c r="E22" s="2" t="s">
        <v>39</v>
      </c>
      <c r="F22" s="2">
        <v>29</v>
      </c>
      <c r="G22" s="2">
        <v>500</v>
      </c>
      <c r="H22" s="2">
        <v>14500</v>
      </c>
      <c r="I22" s="2" t="s">
        <v>33</v>
      </c>
    </row>
    <row r="23" spans="1:9" hidden="1" x14ac:dyDescent="0.3">
      <c r="A23" s="3">
        <v>43310</v>
      </c>
      <c r="B23" s="3" t="s">
        <v>27</v>
      </c>
      <c r="C23" s="3" t="s">
        <v>31</v>
      </c>
      <c r="D23" s="3" t="s">
        <v>32</v>
      </c>
      <c r="E23" s="3" t="s">
        <v>39</v>
      </c>
      <c r="F23" s="3">
        <v>81</v>
      </c>
      <c r="G23" s="3">
        <v>500</v>
      </c>
      <c r="H23" s="3">
        <v>40500</v>
      </c>
      <c r="I23" s="3" t="s">
        <v>24</v>
      </c>
    </row>
    <row r="24" spans="1:9" hidden="1" x14ac:dyDescent="0.3">
      <c r="A24" s="2">
        <v>43259</v>
      </c>
      <c r="B24" s="2" t="s">
        <v>27</v>
      </c>
      <c r="C24" s="2" t="s">
        <v>28</v>
      </c>
      <c r="D24" s="2" t="s">
        <v>34</v>
      </c>
      <c r="E24" s="2" t="s">
        <v>39</v>
      </c>
      <c r="F24" s="2">
        <v>60</v>
      </c>
      <c r="G24" s="2">
        <v>500</v>
      </c>
      <c r="H24" s="2">
        <v>30000</v>
      </c>
      <c r="I24" s="2" t="s">
        <v>43</v>
      </c>
    </row>
    <row r="25" spans="1:9" collapsed="1" x14ac:dyDescent="0.3">
      <c r="A25" s="3">
        <v>43276</v>
      </c>
      <c r="B25" s="3" t="s">
        <v>20</v>
      </c>
      <c r="C25" s="3" t="s">
        <v>35</v>
      </c>
      <c r="D25" s="3" t="s">
        <v>40</v>
      </c>
      <c r="E25" s="3" t="s">
        <v>45</v>
      </c>
      <c r="F25" s="3">
        <v>90</v>
      </c>
      <c r="G25" s="3">
        <v>1198</v>
      </c>
      <c r="H25" s="3">
        <v>107820</v>
      </c>
      <c r="I25" s="3" t="s">
        <v>30</v>
      </c>
    </row>
    <row r="26" spans="1:9" x14ac:dyDescent="0.3">
      <c r="A26" s="2">
        <v>43140</v>
      </c>
      <c r="B26" s="2" t="s">
        <v>20</v>
      </c>
      <c r="C26" s="2" t="s">
        <v>35</v>
      </c>
      <c r="D26" s="2" t="s">
        <v>41</v>
      </c>
      <c r="E26" s="2" t="s">
        <v>45</v>
      </c>
      <c r="F26" s="2">
        <v>36</v>
      </c>
      <c r="G26" s="2">
        <v>1198</v>
      </c>
      <c r="H26" s="2">
        <v>43128</v>
      </c>
      <c r="I26" s="2" t="s">
        <v>33</v>
      </c>
    </row>
    <row r="27" spans="1:9" x14ac:dyDescent="0.3">
      <c r="A27" s="3">
        <v>43208</v>
      </c>
      <c r="B27" s="3" t="s">
        <v>20</v>
      </c>
      <c r="C27" s="3" t="s">
        <v>28</v>
      </c>
      <c r="D27" s="3" t="s">
        <v>42</v>
      </c>
      <c r="E27" s="3" t="s">
        <v>45</v>
      </c>
      <c r="F27" s="3">
        <v>75</v>
      </c>
      <c r="G27" s="3">
        <v>1198</v>
      </c>
      <c r="H27" s="3">
        <v>89850</v>
      </c>
      <c r="I27" s="3" t="s">
        <v>33</v>
      </c>
    </row>
    <row r="28" spans="1:9" x14ac:dyDescent="0.3">
      <c r="A28" s="2">
        <v>43446</v>
      </c>
      <c r="B28" s="2" t="s">
        <v>20</v>
      </c>
      <c r="C28" s="2" t="s">
        <v>31</v>
      </c>
      <c r="D28" s="2" t="s">
        <v>38</v>
      </c>
      <c r="E28" s="2" t="s">
        <v>45</v>
      </c>
      <c r="F28" s="2">
        <v>67</v>
      </c>
      <c r="G28" s="2">
        <v>1198</v>
      </c>
      <c r="H28" s="2">
        <v>80266</v>
      </c>
      <c r="I28" s="2" t="s">
        <v>33</v>
      </c>
    </row>
    <row r="29" spans="1:9" x14ac:dyDescent="0.3">
      <c r="A29" s="3">
        <v>43565</v>
      </c>
      <c r="B29" s="3" t="s">
        <v>20</v>
      </c>
      <c r="C29" s="3" t="s">
        <v>28</v>
      </c>
      <c r="D29" s="3" t="s">
        <v>42</v>
      </c>
      <c r="E29" s="3" t="s">
        <v>45</v>
      </c>
      <c r="F29" s="3">
        <v>66</v>
      </c>
      <c r="G29" s="3">
        <v>1198</v>
      </c>
      <c r="H29" s="3">
        <v>79068</v>
      </c>
      <c r="I29" s="3" t="s">
        <v>33</v>
      </c>
    </row>
    <row r="30" spans="1:9" x14ac:dyDescent="0.3">
      <c r="A30" s="2">
        <v>43718</v>
      </c>
      <c r="B30" s="2" t="s">
        <v>20</v>
      </c>
      <c r="C30" s="2" t="s">
        <v>21</v>
      </c>
      <c r="D30" s="2" t="s">
        <v>22</v>
      </c>
      <c r="E30" s="2" t="s">
        <v>45</v>
      </c>
      <c r="F30" s="2">
        <v>7</v>
      </c>
      <c r="G30" s="2">
        <v>1198</v>
      </c>
      <c r="H30" s="2">
        <v>8386</v>
      </c>
      <c r="I30" s="2" t="s">
        <v>33</v>
      </c>
    </row>
    <row r="31" spans="1:9" x14ac:dyDescent="0.3">
      <c r="A31" s="3">
        <v>43769</v>
      </c>
      <c r="B31" s="3" t="s">
        <v>20</v>
      </c>
      <c r="C31" s="3" t="s">
        <v>28</v>
      </c>
      <c r="D31" s="3" t="s">
        <v>42</v>
      </c>
      <c r="E31" s="3" t="s">
        <v>45</v>
      </c>
      <c r="F31" s="3">
        <v>14</v>
      </c>
      <c r="G31" s="3">
        <v>1198</v>
      </c>
      <c r="H31" s="3">
        <v>16772</v>
      </c>
      <c r="I31" s="3" t="s">
        <v>33</v>
      </c>
    </row>
    <row r="32" spans="1:9" x14ac:dyDescent="0.3">
      <c r="A32" s="2">
        <v>43225</v>
      </c>
      <c r="B32" s="2" t="s">
        <v>20</v>
      </c>
      <c r="C32" s="2" t="s">
        <v>35</v>
      </c>
      <c r="D32" s="2" t="s">
        <v>41</v>
      </c>
      <c r="E32" s="2" t="s">
        <v>45</v>
      </c>
      <c r="F32" s="2">
        <v>90</v>
      </c>
      <c r="G32" s="2">
        <v>1198</v>
      </c>
      <c r="H32" s="2">
        <v>107820</v>
      </c>
      <c r="I32" s="2" t="s">
        <v>43</v>
      </c>
    </row>
    <row r="33" spans="1:9" x14ac:dyDescent="0.3">
      <c r="A33" s="3">
        <v>43599</v>
      </c>
      <c r="B33" s="3" t="s">
        <v>20</v>
      </c>
      <c r="C33" s="3" t="s">
        <v>21</v>
      </c>
      <c r="D33" s="3" t="s">
        <v>22</v>
      </c>
      <c r="E33" s="3" t="s">
        <v>45</v>
      </c>
      <c r="F33" s="3">
        <v>53</v>
      </c>
      <c r="G33" s="3">
        <v>1198</v>
      </c>
      <c r="H33" s="3">
        <v>63494</v>
      </c>
      <c r="I33" s="3" t="s">
        <v>43</v>
      </c>
    </row>
    <row r="34" spans="1:9" x14ac:dyDescent="0.3">
      <c r="A34" s="2">
        <v>43242</v>
      </c>
      <c r="B34" s="2" t="s">
        <v>25</v>
      </c>
      <c r="C34" s="2" t="s">
        <v>31</v>
      </c>
      <c r="D34" s="2" t="s">
        <v>44</v>
      </c>
      <c r="E34" s="2" t="s">
        <v>45</v>
      </c>
      <c r="F34" s="2">
        <v>32</v>
      </c>
      <c r="G34" s="2">
        <v>1198</v>
      </c>
      <c r="H34" s="2">
        <v>38336</v>
      </c>
      <c r="I34" s="2" t="s">
        <v>30</v>
      </c>
    </row>
    <row r="35" spans="1:9" x14ac:dyDescent="0.3">
      <c r="A35" s="3">
        <v>43174</v>
      </c>
      <c r="B35" s="3" t="s">
        <v>25</v>
      </c>
      <c r="C35" s="3" t="s">
        <v>21</v>
      </c>
      <c r="D35" s="3" t="s">
        <v>26</v>
      </c>
      <c r="E35" s="3" t="s">
        <v>45</v>
      </c>
      <c r="F35" s="3">
        <v>56</v>
      </c>
      <c r="G35" s="3">
        <v>1198</v>
      </c>
      <c r="H35" s="3">
        <v>67088</v>
      </c>
      <c r="I35" s="3" t="s">
        <v>43</v>
      </c>
    </row>
    <row r="36" spans="1:9" x14ac:dyDescent="0.3">
      <c r="A36" s="2">
        <v>43327</v>
      </c>
      <c r="B36" s="2" t="s">
        <v>27</v>
      </c>
      <c r="C36" s="2" t="s">
        <v>28</v>
      </c>
      <c r="D36" s="2" t="s">
        <v>34</v>
      </c>
      <c r="E36" s="2" t="s">
        <v>45</v>
      </c>
      <c r="F36" s="2">
        <v>35</v>
      </c>
      <c r="G36" s="2">
        <v>1198</v>
      </c>
      <c r="H36" s="2">
        <v>41930</v>
      </c>
      <c r="I36" s="2" t="s">
        <v>33</v>
      </c>
    </row>
    <row r="37" spans="1:9" x14ac:dyDescent="0.3">
      <c r="A37" s="3">
        <v>43106</v>
      </c>
      <c r="B37" s="3" t="s">
        <v>27</v>
      </c>
      <c r="C37" s="3" t="s">
        <v>28</v>
      </c>
      <c r="D37" s="3" t="s">
        <v>34</v>
      </c>
      <c r="E37" s="3" t="s">
        <v>45</v>
      </c>
      <c r="F37" s="3">
        <v>95</v>
      </c>
      <c r="G37" s="3">
        <v>1198</v>
      </c>
      <c r="H37" s="3">
        <v>113810</v>
      </c>
      <c r="I37" s="3" t="s">
        <v>43</v>
      </c>
    </row>
    <row r="38" spans="1:9" x14ac:dyDescent="0.3">
      <c r="A38" s="2">
        <v>43667</v>
      </c>
      <c r="B38" s="2" t="s">
        <v>20</v>
      </c>
      <c r="C38" s="2" t="s">
        <v>35</v>
      </c>
      <c r="D38" s="2" t="s">
        <v>40</v>
      </c>
      <c r="E38" s="2" t="s">
        <v>46</v>
      </c>
      <c r="F38" s="2">
        <v>55</v>
      </c>
      <c r="G38" s="2">
        <v>58.5</v>
      </c>
      <c r="H38" s="2">
        <v>3217.5</v>
      </c>
      <c r="I38" s="2" t="s">
        <v>33</v>
      </c>
    </row>
    <row r="39" spans="1:9" x14ac:dyDescent="0.3">
      <c r="A39" s="3">
        <v>43429</v>
      </c>
      <c r="B39" s="3" t="s">
        <v>20</v>
      </c>
      <c r="C39" s="3" t="s">
        <v>35</v>
      </c>
      <c r="D39" s="3" t="s">
        <v>36</v>
      </c>
      <c r="E39" s="3" t="s">
        <v>46</v>
      </c>
      <c r="F39" s="3">
        <v>96</v>
      </c>
      <c r="G39" s="3">
        <v>58.5</v>
      </c>
      <c r="H39" s="3">
        <v>5616</v>
      </c>
      <c r="I39" s="3" t="s">
        <v>24</v>
      </c>
    </row>
    <row r="40" spans="1:9" x14ac:dyDescent="0.3">
      <c r="A40" s="2">
        <v>43548</v>
      </c>
      <c r="B40" s="2" t="s">
        <v>20</v>
      </c>
      <c r="C40" s="2" t="s">
        <v>35</v>
      </c>
      <c r="D40" s="2" t="s">
        <v>41</v>
      </c>
      <c r="E40" s="2" t="s">
        <v>46</v>
      </c>
      <c r="F40" s="2">
        <v>50</v>
      </c>
      <c r="G40" s="2">
        <v>58.5</v>
      </c>
      <c r="H40" s="2">
        <v>2925</v>
      </c>
      <c r="I40" s="2" t="s">
        <v>24</v>
      </c>
    </row>
    <row r="41" spans="1:9" x14ac:dyDescent="0.3">
      <c r="A41" s="3">
        <v>43684</v>
      </c>
      <c r="B41" s="3" t="s">
        <v>20</v>
      </c>
      <c r="C41" s="3" t="s">
        <v>35</v>
      </c>
      <c r="D41" s="3" t="s">
        <v>36</v>
      </c>
      <c r="E41" s="3" t="s">
        <v>46</v>
      </c>
      <c r="F41" s="3">
        <v>42</v>
      </c>
      <c r="G41" s="3">
        <v>58.5</v>
      </c>
      <c r="H41" s="3">
        <v>2457</v>
      </c>
      <c r="I41" s="3" t="s">
        <v>24</v>
      </c>
    </row>
    <row r="42" spans="1:9" x14ac:dyDescent="0.3">
      <c r="A42" s="2">
        <v>43650</v>
      </c>
      <c r="B42" s="2" t="s">
        <v>27</v>
      </c>
      <c r="C42" s="2" t="s">
        <v>28</v>
      </c>
      <c r="D42" s="2" t="s">
        <v>34</v>
      </c>
      <c r="E42" s="2" t="s">
        <v>46</v>
      </c>
      <c r="F42" s="2">
        <v>62</v>
      </c>
      <c r="G42" s="2">
        <v>58.5</v>
      </c>
      <c r="H42" s="2">
        <v>3627</v>
      </c>
      <c r="I42" s="2" t="s">
        <v>30</v>
      </c>
    </row>
    <row r="43" spans="1:9" x14ac:dyDescent="0.3">
      <c r="A43" s="3">
        <v>43463</v>
      </c>
      <c r="B43" s="3" t="s">
        <v>27</v>
      </c>
      <c r="C43" s="3" t="s">
        <v>31</v>
      </c>
      <c r="D43" s="3" t="s">
        <v>32</v>
      </c>
      <c r="E43" s="3" t="s">
        <v>46</v>
      </c>
      <c r="F43" s="3">
        <v>74</v>
      </c>
      <c r="G43" s="3">
        <v>58.5</v>
      </c>
      <c r="H43" s="3">
        <v>4329</v>
      </c>
      <c r="I43" s="3" t="s">
        <v>33</v>
      </c>
    </row>
    <row r="44" spans="1:9" x14ac:dyDescent="0.3">
      <c r="A44" s="2">
        <v>43361</v>
      </c>
      <c r="B44" s="2" t="s">
        <v>27</v>
      </c>
      <c r="C44" s="2" t="s">
        <v>28</v>
      </c>
      <c r="D44" s="2" t="s">
        <v>34</v>
      </c>
      <c r="E44" s="2" t="s">
        <v>46</v>
      </c>
      <c r="F44" s="2">
        <v>16</v>
      </c>
      <c r="G44" s="2">
        <v>58.5</v>
      </c>
      <c r="H44" s="2">
        <v>936</v>
      </c>
      <c r="I44" s="2" t="s">
        <v>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Practice Date Formule</vt:lpstr>
      <vt:lpstr>Some Advance Maths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Katheriya</dc:creator>
  <cp:lastModifiedBy>pc</cp:lastModifiedBy>
  <dcterms:created xsi:type="dcterms:W3CDTF">2015-06-05T18:17:20Z</dcterms:created>
  <dcterms:modified xsi:type="dcterms:W3CDTF">2026-01-21T12:15:47Z</dcterms:modified>
</cp:coreProperties>
</file>